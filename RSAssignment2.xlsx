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jan\Desktop\"/>
    </mc:Choice>
  </mc:AlternateContent>
  <xr:revisionPtr revIDLastSave="0" documentId="13_ncr:1_{C1EB68DF-69FF-40D0-8807-E6CCF65C0248}" xr6:coauthVersionLast="47" xr6:coauthVersionMax="47" xr10:uidLastSave="{00000000-0000-0000-0000-000000000000}"/>
  <bookViews>
    <workbookView xWindow="-120" yWindow="-120" windowWidth="29040" windowHeight="15840" activeTab="2" xr2:uid="{50B304F2-60AF-49A9-90AD-1B4C61A7A9BD}"/>
  </bookViews>
  <sheets>
    <sheet name="Part1" sheetId="1" r:id="rId1"/>
    <sheet name="Part2" sheetId="2" r:id="rId2"/>
    <sheet name="Par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L21" i="2"/>
  <c r="K21" i="2"/>
  <c r="N20" i="2"/>
  <c r="N21" i="2" s="1"/>
  <c r="M20" i="2"/>
  <c r="L20" i="2"/>
  <c r="K20" i="2"/>
  <c r="E21" i="2"/>
  <c r="D21" i="2"/>
  <c r="C21" i="2"/>
  <c r="F20" i="2"/>
  <c r="F21" i="2" s="1"/>
  <c r="E20" i="2"/>
  <c r="D20" i="2"/>
  <c r="C20" i="2"/>
  <c r="Q20" i="1"/>
  <c r="S21" i="1"/>
  <c r="R21" i="1"/>
  <c r="Q21" i="1"/>
  <c r="T20" i="1"/>
  <c r="T21" i="1" s="1"/>
  <c r="S20" i="1"/>
  <c r="R20" i="1"/>
  <c r="M21" i="1"/>
  <c r="M20" i="1"/>
  <c r="L21" i="1"/>
  <c r="L20" i="1"/>
  <c r="K21" i="1"/>
  <c r="K20" i="1"/>
  <c r="J21" i="1"/>
  <c r="J20" i="1"/>
  <c r="F21" i="1"/>
  <c r="F20" i="1"/>
  <c r="E20" i="1"/>
  <c r="E21" i="1"/>
  <c r="D21" i="1"/>
  <c r="C21" i="1"/>
  <c r="D20" i="1"/>
  <c r="C20" i="1"/>
</calcChain>
</file>

<file path=xl/sharedStrings.xml><?xml version="1.0" encoding="utf-8"?>
<sst xmlns="http://schemas.openxmlformats.org/spreadsheetml/2006/main" count="324" uniqueCount="46">
  <si>
    <t>JEDRA/CPI</t>
  </si>
  <si>
    <t>core0</t>
  </si>
  <si>
    <t>core1</t>
  </si>
  <si>
    <t>core2</t>
  </si>
  <si>
    <t>core3</t>
  </si>
  <si>
    <t>core4</t>
  </si>
  <si>
    <t>core5</t>
  </si>
  <si>
    <t>core6</t>
  </si>
  <si>
    <t>core7</t>
  </si>
  <si>
    <t>core8</t>
  </si>
  <si>
    <t>core9</t>
  </si>
  <si>
    <t>core10</t>
  </si>
  <si>
    <t>core11</t>
  </si>
  <si>
    <t>core12</t>
  </si>
  <si>
    <t>core13</t>
  </si>
  <si>
    <t>core15</t>
  </si>
  <si>
    <t>core14</t>
  </si>
  <si>
    <t>JEDRA/L1 MISS</t>
  </si>
  <si>
    <t>JEDRA/L1 HIT</t>
  </si>
  <si>
    <t>/</t>
  </si>
  <si>
    <t>JEDRA/L3 UPRGRADE REQ</t>
  </si>
  <si>
    <t>JEDRA/L3 Snoop</t>
  </si>
  <si>
    <t>UpgradeReq</t>
  </si>
  <si>
    <t>Snoop traffic</t>
  </si>
  <si>
    <t>MEAN</t>
  </si>
  <si>
    <t>STD</t>
  </si>
  <si>
    <t>FALSESHARING</t>
  </si>
  <si>
    <t>OPTIMIZED</t>
  </si>
  <si>
    <t>Exec time (simSeconds) v sekundah</t>
  </si>
  <si>
    <t>Exec time (izračunani) v sekundah</t>
  </si>
  <si>
    <t>Number of invalidations/JEDRA</t>
  </si>
  <si>
    <t>Number of loads under diff states/JEDRA</t>
  </si>
  <si>
    <t>I.LOAD</t>
  </si>
  <si>
    <t>S.LOAD</t>
  </si>
  <si>
    <t>E.LOAD</t>
  </si>
  <si>
    <t>M.LOAD</t>
  </si>
  <si>
    <t>Number of requests towards the L2/JEDRA</t>
  </si>
  <si>
    <t>L2Cache_Controller.L1_GETS</t>
  </si>
  <si>
    <t>L2Cache_Controller.L1_GETX</t>
  </si>
  <si>
    <t>Network traffic/JEDRA</t>
  </si>
  <si>
    <t>network.msg_count.Request_Control</t>
  </si>
  <si>
    <t>network.msg_count.Response_Data</t>
  </si>
  <si>
    <t>network.msg_count.Writeback_Data</t>
  </si>
  <si>
    <t>Pt2Pt</t>
  </si>
  <si>
    <t>Circle</t>
  </si>
  <si>
    <t>Crossbar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</si>
</sst>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4" fontId="0" fillId="0" borderId="0" xfId="0" applyNumberFormat="1"/>
    <xf numFmtId="0" fontId="1" fillId="2" borderId="1" xfId="1"/>
    <xf numFmtId="2" fontId="1" fillId="2" borderId="1" xfId="1" applyNumberFormat="1"/>
    <xf numFmtId="164" fontId="1" fillId="2" borderId="1" xfId="1" applyNumberFormat="1"/>
    <xf numFmtId="4" fontId="1" fillId="2" borderId="1" xfId="1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Cores vs CPI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Cores vs CPI 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Part1!$C$3:$F$3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Part1!$C$20:$F$20</c:f>
              <c:numCache>
                <c:formatCode>0.00</c:formatCode>
                <c:ptCount val="4"/>
                <c:pt idx="0">
                  <c:v>1.639826</c:v>
                </c:pt>
                <c:pt idx="1">
                  <c:v>1.7700040000000001</c:v>
                </c:pt>
                <c:pt idx="2">
                  <c:v>1.709359625</c:v>
                </c:pt>
                <c:pt idx="3">
                  <c:v>1.5468983125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B-49B8-8DCB-E92366940574}"/>
            </c:ext>
          </c:extLst>
        </c:ser>
        <c:ser>
          <c:idx val="1"/>
          <c:order val="1"/>
          <c:tx>
            <c:v>Cores vs CPI 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Part1!$C$21:$F$21</c:f>
              <c:numCache>
                <c:formatCode>General</c:formatCode>
                <c:ptCount val="4"/>
                <c:pt idx="0">
                  <c:v>0</c:v>
                </c:pt>
                <c:pt idx="1">
                  <c:v>5.4907761209140593E-2</c:v>
                </c:pt>
                <c:pt idx="2">
                  <c:v>9.6760832264322583E-2</c:v>
                </c:pt>
                <c:pt idx="3">
                  <c:v>0.10624278780876695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B-49B8-8DCB-E923669405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6024495"/>
        <c:axId val="1860175759"/>
      </c:lineChart>
      <c:catAx>
        <c:axId val="177602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60175759"/>
        <c:crosses val="autoZero"/>
        <c:auto val="1"/>
        <c:lblAlgn val="ctr"/>
        <c:lblOffset val="100"/>
        <c:noMultiLvlLbl val="0"/>
      </c:catAx>
      <c:valAx>
        <c:axId val="186017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CPI</a:t>
                </a:r>
              </a:p>
              <a:p>
                <a:pPr>
                  <a:defRPr/>
                </a:pP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77602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L1</a:t>
            </a:r>
            <a:r>
              <a:rPr lang="sl-SI" baseline="0"/>
              <a:t> misses vs Cores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Cores vs L1 miss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Part1!$J$3:$M$3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Part1!$J$20:$M$20</c:f>
              <c:numCache>
                <c:formatCode>0.00</c:formatCode>
                <c:ptCount val="4"/>
                <c:pt idx="0">
                  <c:v>89153.5</c:v>
                </c:pt>
                <c:pt idx="1">
                  <c:v>54278</c:v>
                </c:pt>
                <c:pt idx="2">
                  <c:v>26743.125</c:v>
                </c:pt>
                <c:pt idx="3">
                  <c:v>15873.125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C-48E7-9BFD-787349189A3B}"/>
            </c:ext>
          </c:extLst>
        </c:ser>
        <c:ser>
          <c:idx val="1"/>
          <c:order val="1"/>
          <c:tx>
            <c:v>Cores vs L1 miss 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Part1!$J$21:$M$21</c:f>
              <c:numCache>
                <c:formatCode>General</c:formatCode>
                <c:ptCount val="4"/>
                <c:pt idx="0">
                  <c:v>941.5</c:v>
                </c:pt>
                <c:pt idx="1">
                  <c:v>2300.1086930838724</c:v>
                </c:pt>
                <c:pt idx="2">
                  <c:v>3655.2148513288516</c:v>
                </c:pt>
                <c:pt idx="3">
                  <c:v>5014.1275808518094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C-48E7-9BFD-787349189A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7470175"/>
        <c:axId val="1957468735"/>
      </c:lineChart>
      <c:catAx>
        <c:axId val="195747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57468735"/>
        <c:crosses val="autoZero"/>
        <c:auto val="1"/>
        <c:lblAlgn val="ctr"/>
        <c:lblOffset val="100"/>
        <c:noMultiLvlLbl val="0"/>
      </c:catAx>
      <c:valAx>
        <c:axId val="19574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L1</a:t>
                </a:r>
                <a:r>
                  <a:rPr lang="sl-SI" baseline="0"/>
                  <a:t> misses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574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L1</a:t>
            </a:r>
            <a:r>
              <a:rPr lang="sl-SI" baseline="0"/>
              <a:t> hit vs Cores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Cores vs L1 hit 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Part1!$Q$3:$T$3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Part1!$Q$20:$T$20</c:f>
              <c:numCache>
                <c:formatCode>0.00</c:formatCode>
                <c:ptCount val="4"/>
                <c:pt idx="0">
                  <c:v>1271002</c:v>
                </c:pt>
                <c:pt idx="1">
                  <c:v>801659.5</c:v>
                </c:pt>
                <c:pt idx="2">
                  <c:v>585682.75</c:v>
                </c:pt>
                <c:pt idx="3">
                  <c:v>668086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5-4060-A213-2AD5D47A2781}"/>
            </c:ext>
          </c:extLst>
        </c:ser>
        <c:ser>
          <c:idx val="1"/>
          <c:order val="1"/>
          <c:tx>
            <c:v>Cores vs L1 hit 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Part1!$Q$21:$T$21</c:f>
              <c:numCache>
                <c:formatCode>0.00</c:formatCode>
                <c:ptCount val="4"/>
                <c:pt idx="0" formatCode="General">
                  <c:v>17128</c:v>
                </c:pt>
                <c:pt idx="1">
                  <c:v>23626.492487248292</c:v>
                </c:pt>
                <c:pt idx="2">
                  <c:v>25607.611230598999</c:v>
                </c:pt>
                <c:pt idx="3">
                  <c:v>34165.25102222673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5-4060-A213-2AD5D47A27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9137455"/>
        <c:axId val="1859136495"/>
      </c:lineChart>
      <c:catAx>
        <c:axId val="185913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59136495"/>
        <c:crosses val="autoZero"/>
        <c:auto val="1"/>
        <c:lblAlgn val="ctr"/>
        <c:lblOffset val="100"/>
        <c:noMultiLvlLbl val="0"/>
      </c:catAx>
      <c:valAx>
        <c:axId val="18591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L1</a:t>
                </a:r>
                <a:r>
                  <a:rPr lang="sl-SI" baseline="0"/>
                  <a:t> hit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591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Mean and standard</a:t>
            </a:r>
            <a:r>
              <a:rPr lang="sl-SI" baseline="0"/>
              <a:t> deviation of CPI for Falsesharing vs Optimized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Falsesharing 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2.7551219506629112E-2"/>
                  <c:y val="7.42250077091918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EC-4B28-9219-9C14BF4E5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Part2!$K$3:$N$3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Part2!$C$20:$F$20</c:f>
              <c:numCache>
                <c:formatCode>0.00</c:formatCode>
                <c:ptCount val="4"/>
                <c:pt idx="0">
                  <c:v>7.5893310000000005</c:v>
                </c:pt>
                <c:pt idx="1">
                  <c:v>12.973834500000001</c:v>
                </c:pt>
                <c:pt idx="2">
                  <c:v>23.471847624999999</c:v>
                </c:pt>
                <c:pt idx="3">
                  <c:v>35.665139625000002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C-4B28-9219-9C14BF4E5785}"/>
            </c:ext>
          </c:extLst>
        </c:ser>
        <c:ser>
          <c:idx val="1"/>
          <c:order val="1"/>
          <c:tx>
            <c:v>Optimized mean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6059068952001924E-2"/>
                  <c:y val="-4.418071977163544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EC-4B28-9219-9C14BF4E5785}"/>
                </c:ext>
              </c:extLst>
            </c:dLbl>
            <c:dLbl>
              <c:idx val="1"/>
              <c:layout>
                <c:manualLayout>
                  <c:x val="2.1917801185418295E-3"/>
                  <c:y val="1.9263073519001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EC-4B28-9219-9C14BF4E5785}"/>
                </c:ext>
              </c:extLst>
            </c:dLbl>
            <c:dLbl>
              <c:idx val="2"/>
              <c:layout>
                <c:manualLayout>
                  <c:x val="1.1248722757144364E-2"/>
                  <c:y val="2.51833598930432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EC-4B28-9219-9C14BF4E5785}"/>
                </c:ext>
              </c:extLst>
            </c:dLbl>
            <c:dLbl>
              <c:idx val="3"/>
              <c:layout>
                <c:manualLayout>
                  <c:x val="-6.3018206879396896E-2"/>
                  <c:y val="-3.4019503847370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EC-4B28-9219-9C14BF4E5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Part2!$K$20:$N$20</c:f>
              <c:numCache>
                <c:formatCode>0.00</c:formatCode>
                <c:ptCount val="4"/>
                <c:pt idx="0">
                  <c:v>6.2007750000000001</c:v>
                </c:pt>
                <c:pt idx="1">
                  <c:v>11.356788</c:v>
                </c:pt>
                <c:pt idx="2">
                  <c:v>21.035492250000001</c:v>
                </c:pt>
                <c:pt idx="3">
                  <c:v>36.067554375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C-4B28-9219-9C14BF4E5785}"/>
            </c:ext>
          </c:extLst>
        </c:ser>
        <c:ser>
          <c:idx val="2"/>
          <c:order val="2"/>
          <c:tx>
            <c:v>Falsesharing 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Part2!$C$21:$F$21</c:f>
              <c:numCache>
                <c:formatCode>General</c:formatCode>
                <c:ptCount val="4"/>
                <c:pt idx="0">
                  <c:v>2.3774740000000003</c:v>
                </c:pt>
                <c:pt idx="1">
                  <c:v>4.4424728829703879</c:v>
                </c:pt>
                <c:pt idx="2">
                  <c:v>7.4262385708248413</c:v>
                </c:pt>
                <c:pt idx="3">
                  <c:v>9.3957217501163139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C-4B28-9219-9C14BF4E5785}"/>
            </c:ext>
          </c:extLst>
        </c:ser>
        <c:ser>
          <c:idx val="3"/>
          <c:order val="3"/>
          <c:tx>
            <c:v>Optimized stdev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74616827143332E-2"/>
                  <c:y val="2.5183359893043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EC-4B28-9219-9C14BF4E5785}"/>
                </c:ext>
              </c:extLst>
            </c:dLbl>
            <c:dLbl>
              <c:idx val="1"/>
              <c:layout>
                <c:manualLayout>
                  <c:x val="6.3942015028534364E-3"/>
                  <c:y val="2.5183359893043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EC-4B28-9219-9C14BF4E5785}"/>
                </c:ext>
              </c:extLst>
            </c:dLbl>
            <c:dLbl>
              <c:idx val="2"/>
              <c:layout>
                <c:manualLayout>
                  <c:x val="2.6826664095540971E-2"/>
                  <c:y val="2.8143503080063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EC-4B28-9219-9C14BF4E5785}"/>
                </c:ext>
              </c:extLst>
            </c:dLbl>
            <c:dLbl>
              <c:idx val="3"/>
              <c:layout>
                <c:manualLayout>
                  <c:x val="-1.6646660569751712E-2"/>
                  <c:y val="3.7023932641125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EC-4B28-9219-9C14BF4E5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Part2!$K$21:$N$21</c:f>
              <c:numCache>
                <c:formatCode>General</c:formatCode>
                <c:ptCount val="4"/>
                <c:pt idx="0">
                  <c:v>2.3789619999999996</c:v>
                </c:pt>
                <c:pt idx="1">
                  <c:v>4.3467513252084586</c:v>
                </c:pt>
                <c:pt idx="2">
                  <c:v>6.412841960010975</c:v>
                </c:pt>
                <c:pt idx="3">
                  <c:v>8.2242199799610329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EC-4B28-9219-9C14BF4E57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59136975"/>
        <c:axId val="1781498975"/>
      </c:lineChart>
      <c:catAx>
        <c:axId val="185913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781498975"/>
        <c:crosses val="autoZero"/>
        <c:auto val="1"/>
        <c:lblAlgn val="ctr"/>
        <c:lblOffset val="100"/>
        <c:noMultiLvlLbl val="0"/>
      </c:catAx>
      <c:valAx>
        <c:axId val="17814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591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Number</a:t>
            </a:r>
            <a:r>
              <a:rPr lang="sl-SI" baseline="0"/>
              <a:t> of loads under different states for Falsesharing vs Optimized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I.Load Falsesharing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Part2!$C$34:$F$34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Part2!$C$35:$F$35</c:f>
              <c:numCache>
                <c:formatCode>General</c:formatCode>
                <c:ptCount val="4"/>
                <c:pt idx="0">
                  <c:v>30384</c:v>
                </c:pt>
                <c:pt idx="1">
                  <c:v>31368</c:v>
                </c:pt>
                <c:pt idx="2">
                  <c:v>63728</c:v>
                </c:pt>
                <c:pt idx="3">
                  <c:v>57754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F-48FE-BA63-0F6CD98964F6}"/>
            </c:ext>
          </c:extLst>
        </c:ser>
        <c:ser>
          <c:idx val="1"/>
          <c:order val="1"/>
          <c:tx>
            <c:v>I.Load Optimized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Part2!$K$35:$N$35</c:f>
              <c:numCache>
                <c:formatCode>General</c:formatCode>
                <c:ptCount val="4"/>
                <c:pt idx="0">
                  <c:v>10</c:v>
                </c:pt>
                <c:pt idx="1">
                  <c:v>19</c:v>
                </c:pt>
                <c:pt idx="2">
                  <c:v>1750</c:v>
                </c:pt>
                <c:pt idx="3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F-48FE-BA63-0F6CD98964F6}"/>
            </c:ext>
          </c:extLst>
        </c:ser>
        <c:ser>
          <c:idx val="2"/>
          <c:order val="2"/>
          <c:tx>
            <c:v>S.Load Falsesharing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Part2!$C$36:$F$36</c:f>
              <c:numCache>
                <c:formatCode>General</c:formatCode>
                <c:ptCount val="4"/>
                <c:pt idx="0">
                  <c:v>95525</c:v>
                </c:pt>
                <c:pt idx="1">
                  <c:v>100108</c:v>
                </c:pt>
                <c:pt idx="2">
                  <c:v>90672</c:v>
                </c:pt>
                <c:pt idx="3">
                  <c:v>109812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F-48FE-BA63-0F6CD98964F6}"/>
            </c:ext>
          </c:extLst>
        </c:ser>
        <c:ser>
          <c:idx val="3"/>
          <c:order val="3"/>
          <c:tx>
            <c:v>S.Load Optimized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Part2!$K$36:$N$36</c:f>
              <c:numCache>
                <c:formatCode>General</c:formatCode>
                <c:ptCount val="4"/>
                <c:pt idx="0">
                  <c:v>550</c:v>
                </c:pt>
                <c:pt idx="1">
                  <c:v>70389</c:v>
                </c:pt>
                <c:pt idx="2">
                  <c:v>74275</c:v>
                </c:pt>
                <c:pt idx="3">
                  <c:v>88962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F-48FE-BA63-0F6CD98964F6}"/>
            </c:ext>
          </c:extLst>
        </c:ser>
        <c:ser>
          <c:idx val="4"/>
          <c:order val="4"/>
          <c:tx>
            <c:v>E.Load Falsesharing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Part2!$C$37:$F$37</c:f>
              <c:numCache>
                <c:formatCode>General</c:formatCode>
                <c:ptCount val="4"/>
                <c:pt idx="0">
                  <c:v>81888</c:v>
                </c:pt>
                <c:pt idx="1">
                  <c:v>81864</c:v>
                </c:pt>
                <c:pt idx="2">
                  <c:v>104732</c:v>
                </c:pt>
                <c:pt idx="3">
                  <c:v>81364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F-48FE-BA63-0F6CD98964F6}"/>
            </c:ext>
          </c:extLst>
        </c:ser>
        <c:ser>
          <c:idx val="5"/>
          <c:order val="5"/>
          <c:tx>
            <c:v>E.Load Optimized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Part2!$K$37:$N$37</c:f>
              <c:numCache>
                <c:formatCode>General</c:formatCode>
                <c:ptCount val="4"/>
                <c:pt idx="0">
                  <c:v>106532</c:v>
                </c:pt>
                <c:pt idx="1">
                  <c:v>75641</c:v>
                </c:pt>
                <c:pt idx="2">
                  <c:v>121767</c:v>
                </c:pt>
                <c:pt idx="3">
                  <c:v>104358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3F-48FE-BA63-0F6CD98964F6}"/>
            </c:ext>
          </c:extLst>
        </c:ser>
        <c:ser>
          <c:idx val="6"/>
          <c:order val="6"/>
          <c:tx>
            <c:v>M.Load Falsesharing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Part2!$C$38:$F$38</c:f>
              <c:numCache>
                <c:formatCode>General</c:formatCode>
                <c:ptCount val="4"/>
                <c:pt idx="0">
                  <c:v>532598</c:v>
                </c:pt>
                <c:pt idx="1">
                  <c:v>527817</c:v>
                </c:pt>
                <c:pt idx="2">
                  <c:v>556559</c:v>
                </c:pt>
                <c:pt idx="3">
                  <c:v>688438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3F-48FE-BA63-0F6CD98964F6}"/>
            </c:ext>
          </c:extLst>
        </c:ser>
        <c:ser>
          <c:idx val="7"/>
          <c:order val="7"/>
          <c:tx>
            <c:v>M.Load Optimized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Part2!$K$38:$N$38</c:f>
              <c:numCache>
                <c:formatCode>General</c:formatCode>
                <c:ptCount val="4"/>
                <c:pt idx="0">
                  <c:v>571037</c:v>
                </c:pt>
                <c:pt idx="1">
                  <c:v>712</c:v>
                </c:pt>
                <c:pt idx="2">
                  <c:v>582690</c:v>
                </c:pt>
                <c:pt idx="3">
                  <c:v>676755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3F-48FE-BA63-0F6CD98964F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117951"/>
        <c:axId val="1989117471"/>
      </c:lineChart>
      <c:catAx>
        <c:axId val="198911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 of 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89117471"/>
        <c:crosses val="autoZero"/>
        <c:auto val="1"/>
        <c:lblAlgn val="ctr"/>
        <c:lblOffset val="100"/>
        <c:noMultiLvlLbl val="0"/>
      </c:catAx>
      <c:valAx>
        <c:axId val="19891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 Number of loads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8911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Number of requests towards the</a:t>
            </a:r>
            <a:r>
              <a:rPr lang="sl-SI" baseline="0"/>
              <a:t> L2 for Falsesharing vs Optimized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L1_Gets Falsesharing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Part2!$C$43:$F$43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Part2!$C$44:$F$44</c:f>
              <c:numCache>
                <c:formatCode>General</c:formatCode>
                <c:ptCount val="4"/>
                <c:pt idx="0">
                  <c:v>35182</c:v>
                </c:pt>
                <c:pt idx="1">
                  <c:v>36304</c:v>
                </c:pt>
                <c:pt idx="2">
                  <c:v>103376</c:v>
                </c:pt>
                <c:pt idx="3">
                  <c:v>167767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B-45AE-923B-0991B4D67348}"/>
            </c:ext>
          </c:extLst>
        </c:ser>
        <c:ser>
          <c:idx val="1"/>
          <c:order val="1"/>
          <c:tx>
            <c:v>L1_Gets Optimized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Part2!$C$43:$F$43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Part2!$K$44:$N$44</c:f>
              <c:numCache>
                <c:formatCode>General</c:formatCode>
                <c:ptCount val="4"/>
                <c:pt idx="0">
                  <c:v>4193</c:v>
                </c:pt>
                <c:pt idx="1">
                  <c:v>4291</c:v>
                </c:pt>
                <c:pt idx="2">
                  <c:v>4511</c:v>
                </c:pt>
                <c:pt idx="3">
                  <c:v>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B-45AE-923B-0991B4D67348}"/>
            </c:ext>
          </c:extLst>
        </c:ser>
        <c:ser>
          <c:idx val="2"/>
          <c:order val="2"/>
          <c:tx>
            <c:v>L1_GetX Falsesharing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Part2!$C$45:$F$45</c:f>
              <c:numCache>
                <c:formatCode>General</c:formatCode>
                <c:ptCount val="4"/>
                <c:pt idx="0">
                  <c:v>33425</c:v>
                </c:pt>
                <c:pt idx="1">
                  <c:v>35001</c:v>
                </c:pt>
                <c:pt idx="2">
                  <c:v>142339</c:v>
                </c:pt>
                <c:pt idx="3">
                  <c:v>195364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CB-45AE-923B-0991B4D67348}"/>
            </c:ext>
          </c:extLst>
        </c:ser>
        <c:ser>
          <c:idx val="3"/>
          <c:order val="3"/>
          <c:tx>
            <c:v>L1_GetX Optimized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Part2!$K$45:$N$45</c:f>
              <c:numCache>
                <c:formatCode>General</c:formatCode>
                <c:ptCount val="4"/>
                <c:pt idx="0">
                  <c:v>88</c:v>
                </c:pt>
                <c:pt idx="1">
                  <c:v>204</c:v>
                </c:pt>
                <c:pt idx="2">
                  <c:v>436</c:v>
                </c:pt>
                <c:pt idx="3">
                  <c:v>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CB-45AE-923B-0991B4D6734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865231"/>
        <c:axId val="1780864271"/>
      </c:lineChart>
      <c:catAx>
        <c:axId val="178086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780864271"/>
        <c:crosses val="autoZero"/>
        <c:auto val="1"/>
        <c:lblAlgn val="ctr"/>
        <c:lblOffset val="100"/>
        <c:noMultiLvlLbl val="0"/>
      </c:catAx>
      <c:valAx>
        <c:axId val="17808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 of requests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78086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Network</a:t>
            </a:r>
            <a:r>
              <a:rPr lang="sl-SI" baseline="0"/>
              <a:t> traffic for Falsesharing vs Optimized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Request_control Falsesharing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Part2!$C$51:$F$51</c:f>
              <c:numCache>
                <c:formatCode>General</c:formatCode>
                <c:ptCount val="4"/>
                <c:pt idx="0">
                  <c:v>182204</c:v>
                </c:pt>
                <c:pt idx="1">
                  <c:v>190588</c:v>
                </c:pt>
                <c:pt idx="2">
                  <c:v>256840</c:v>
                </c:pt>
                <c:pt idx="3">
                  <c:v>293576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1-4AB5-98C5-237E785B6209}"/>
            </c:ext>
          </c:extLst>
        </c:ser>
        <c:ser>
          <c:idx val="1"/>
          <c:order val="1"/>
          <c:tx>
            <c:v>Response_Data Falsesharing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Part2!$C$52:$F$52</c:f>
              <c:numCache>
                <c:formatCode>General</c:formatCode>
                <c:ptCount val="4"/>
                <c:pt idx="0">
                  <c:v>198766</c:v>
                </c:pt>
                <c:pt idx="1">
                  <c:v>205514</c:v>
                </c:pt>
                <c:pt idx="2">
                  <c:v>273326</c:v>
                </c:pt>
                <c:pt idx="3">
                  <c:v>312656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E1-4AB5-98C5-237E785B6209}"/>
            </c:ext>
          </c:extLst>
        </c:ser>
        <c:ser>
          <c:idx val="2"/>
          <c:order val="2"/>
          <c:tx>
            <c:v>Writeback_Data Falsesharing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Part2!$C$53:$F$53</c:f>
              <c:numCache>
                <c:formatCode>General</c:formatCode>
                <c:ptCount val="4"/>
                <c:pt idx="0">
                  <c:v>1128</c:v>
                </c:pt>
                <c:pt idx="1">
                  <c:v>1288</c:v>
                </c:pt>
                <c:pt idx="2">
                  <c:v>1574</c:v>
                </c:pt>
                <c:pt idx="3">
                  <c:v>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E1-4AB5-98C5-237E785B6209}"/>
            </c:ext>
          </c:extLst>
        </c:ser>
        <c:ser>
          <c:idx val="3"/>
          <c:order val="3"/>
          <c:tx>
            <c:v>Request_Control Optimized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Part2!$K$51:$N$51</c:f>
              <c:numCache>
                <c:formatCode>General</c:formatCode>
                <c:ptCount val="4"/>
                <c:pt idx="0">
                  <c:v>1180</c:v>
                </c:pt>
                <c:pt idx="1">
                  <c:v>1602</c:v>
                </c:pt>
                <c:pt idx="2">
                  <c:v>3822</c:v>
                </c:pt>
                <c:pt idx="3">
                  <c:v>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E1-4AB5-98C5-237E785B6209}"/>
            </c:ext>
          </c:extLst>
        </c:ser>
        <c:ser>
          <c:idx val="4"/>
          <c:order val="4"/>
          <c:tx>
            <c:v>Response_Data Optimized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Part2!$K$52:$N$52</c:f>
              <c:numCache>
                <c:formatCode>General</c:formatCode>
                <c:ptCount val="4"/>
                <c:pt idx="0">
                  <c:v>17516</c:v>
                </c:pt>
                <c:pt idx="1">
                  <c:v>16128</c:v>
                </c:pt>
                <c:pt idx="2">
                  <c:v>18580</c:v>
                </c:pt>
                <c:pt idx="3">
                  <c:v>25282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E1-4AB5-98C5-237E785B6209}"/>
            </c:ext>
          </c:extLst>
        </c:ser>
        <c:ser>
          <c:idx val="5"/>
          <c:order val="5"/>
          <c:tx>
            <c:v>Writeback_Data Optimized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Part2!$K$50:$N$50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Part2!$K$53:$N$53</c:f>
              <c:numCache>
                <c:formatCode>General</c:formatCode>
                <c:ptCount val="4"/>
                <c:pt idx="0">
                  <c:v>1080</c:v>
                </c:pt>
                <c:pt idx="1">
                  <c:v>1228</c:v>
                </c:pt>
                <c:pt idx="2">
                  <c:v>1526</c:v>
                </c:pt>
                <c:pt idx="3">
                  <c:v>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E1-4AB5-98C5-237E785B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712015"/>
        <c:axId val="1597714415"/>
      </c:lineChart>
      <c:catAx>
        <c:axId val="159771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 of 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597714415"/>
        <c:crosses val="autoZero"/>
        <c:auto val="1"/>
        <c:lblAlgn val="ctr"/>
        <c:lblOffset val="100"/>
        <c:noMultiLvlLbl val="0"/>
      </c:catAx>
      <c:valAx>
        <c:axId val="15977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Network</a:t>
                </a:r>
                <a:r>
                  <a:rPr lang="sl-SI" baseline="0"/>
                  <a:t> traffic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5977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Network traffic (Request_Control) for all three types</a:t>
            </a:r>
            <a:r>
              <a:rPr lang="sl-SI" baseline="0"/>
              <a:t> of network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Request_Control Pt2Pt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Part3!$C$5:$F$5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Part3!$C$6:$F$6</c:f>
              <c:numCache>
                <c:formatCode>General</c:formatCode>
                <c:ptCount val="4"/>
                <c:pt idx="0">
                  <c:v>5672</c:v>
                </c:pt>
                <c:pt idx="1">
                  <c:v>251488</c:v>
                </c:pt>
                <c:pt idx="2">
                  <c:v>405278</c:v>
                </c:pt>
                <c:pt idx="3">
                  <c:v>762090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0-497F-A738-CAC960836B90}"/>
            </c:ext>
          </c:extLst>
        </c:ser>
        <c:ser>
          <c:idx val="1"/>
          <c:order val="1"/>
          <c:tx>
            <c:v>Request_Control Circle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Part3!$C$5:$F$5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Part3!$C$15:$F$15</c:f>
              <c:numCache>
                <c:formatCode>General</c:formatCode>
                <c:ptCount val="4"/>
                <c:pt idx="0">
                  <c:v>8276</c:v>
                </c:pt>
                <c:pt idx="1">
                  <c:v>511715</c:v>
                </c:pt>
                <c:pt idx="2">
                  <c:v>1243687</c:v>
                </c:pt>
                <c:pt idx="3">
                  <c:v>3911898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0-497F-A738-CAC960836B90}"/>
            </c:ext>
          </c:extLst>
        </c:ser>
        <c:ser>
          <c:idx val="2"/>
          <c:order val="2"/>
          <c:tx>
            <c:v>Request_Control Crossbar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Part3!$C$5:$F$5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Part3!$C$25:$F$25</c:f>
              <c:numCache>
                <c:formatCode>General</c:formatCode>
                <c:ptCount val="4"/>
                <c:pt idx="0">
                  <c:v>8053</c:v>
                </c:pt>
                <c:pt idx="1">
                  <c:v>375822</c:v>
                </c:pt>
                <c:pt idx="2">
                  <c:v>590618</c:v>
                </c:pt>
                <c:pt idx="3">
                  <c:v>1136084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B0-497F-A738-CAC960836B9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554127"/>
        <c:axId val="1862550767"/>
      </c:lineChart>
      <c:catAx>
        <c:axId val="186255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cores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62550767"/>
        <c:crosses val="autoZero"/>
        <c:auto val="1"/>
        <c:lblAlgn val="ctr"/>
        <c:lblOffset val="100"/>
        <c:noMultiLvlLbl val="0"/>
      </c:catAx>
      <c:valAx>
        <c:axId val="18625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Request control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6255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Network traffic (Response_data) for all three types of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Response_Data Pt2Pt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Part3!$C$7:$F$7</c:f>
              <c:numCache>
                <c:formatCode>General</c:formatCode>
                <c:ptCount val="4"/>
                <c:pt idx="0">
                  <c:v>4017876</c:v>
                </c:pt>
                <c:pt idx="1">
                  <c:v>4022028</c:v>
                </c:pt>
                <c:pt idx="2">
                  <c:v>4033056</c:v>
                </c:pt>
                <c:pt idx="3">
                  <c:v>4054350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1-4D09-BC22-2646A25BB854}"/>
            </c:ext>
          </c:extLst>
        </c:ser>
        <c:ser>
          <c:idx val="1"/>
          <c:order val="1"/>
          <c:tx>
            <c:v>Response_Data Circle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Part3!$C$16:$F$16</c:f>
              <c:numCache>
                <c:formatCode>General</c:formatCode>
                <c:ptCount val="4"/>
                <c:pt idx="0">
                  <c:v>6469856</c:v>
                </c:pt>
                <c:pt idx="1">
                  <c:v>8363524</c:v>
                </c:pt>
                <c:pt idx="2">
                  <c:v>12168557</c:v>
                </c:pt>
                <c:pt idx="3">
                  <c:v>19834469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71-4D09-BC22-2646A25BB854}"/>
            </c:ext>
          </c:extLst>
        </c:ser>
        <c:ser>
          <c:idx val="2"/>
          <c:order val="2"/>
          <c:tx>
            <c:v>Response_Data Crossbar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Part3!$C$26:$F$26</c:f>
              <c:numCache>
                <c:formatCode>General</c:formatCode>
                <c:ptCount val="4"/>
                <c:pt idx="0">
                  <c:v>6026525</c:v>
                </c:pt>
                <c:pt idx="1">
                  <c:v>6032093</c:v>
                </c:pt>
                <c:pt idx="2">
                  <c:v>6047472</c:v>
                </c:pt>
                <c:pt idx="3">
                  <c:v>6077030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71-4D09-BC22-2646A25BB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400767"/>
        <c:axId val="1861396447"/>
      </c:lineChart>
      <c:catAx>
        <c:axId val="186140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 of 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61396447"/>
        <c:crosses val="autoZero"/>
        <c:auto val="1"/>
        <c:lblAlgn val="ctr"/>
        <c:lblOffset val="100"/>
        <c:noMultiLvlLbl val="0"/>
      </c:catAx>
      <c:valAx>
        <c:axId val="18613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Response data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86140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Network</a:t>
            </a:r>
            <a:r>
              <a:rPr lang="sl-SI" baseline="0"/>
              <a:t> traffic (Writeback_Data) for all three types of network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Writeback_Data Pt2Pt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Part3!$C$8:$F$8</c:f>
              <c:numCache>
                <c:formatCode>General</c:formatCode>
                <c:ptCount val="4"/>
                <c:pt idx="0">
                  <c:v>1000392</c:v>
                </c:pt>
                <c:pt idx="1">
                  <c:v>1000174</c:v>
                </c:pt>
                <c:pt idx="2">
                  <c:v>1000226</c:v>
                </c:pt>
                <c:pt idx="3">
                  <c:v>1003016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E-437C-B475-4D8FAA4A38F3}"/>
            </c:ext>
          </c:extLst>
        </c:ser>
        <c:ser>
          <c:idx val="1"/>
          <c:order val="1"/>
          <c:tx>
            <c:v>Writeback_Data Circle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Part3!$C$17:$F$17</c:f>
              <c:numCache>
                <c:formatCode>General</c:formatCode>
                <c:ptCount val="4"/>
                <c:pt idx="0">
                  <c:v>1438158</c:v>
                </c:pt>
                <c:pt idx="1">
                  <c:v>2314038</c:v>
                </c:pt>
                <c:pt idx="2">
                  <c:v>4064869</c:v>
                </c:pt>
                <c:pt idx="3">
                  <c:v>7582314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E-437C-B475-4D8FAA4A38F3}"/>
            </c:ext>
          </c:extLst>
        </c:ser>
        <c:ser>
          <c:idx val="2"/>
          <c:order val="2"/>
          <c:tx>
            <c:v>Writeback_Data Crossbar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Part3!$C$14:$F$14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cat>
          <c:val>
            <c:numRef>
              <c:f>Part3!$C$27:$F$27</c:f>
              <c:numCache>
                <c:formatCode>General</c:formatCode>
                <c:ptCount val="4"/>
                <c:pt idx="0">
                  <c:v>1500588</c:v>
                </c:pt>
                <c:pt idx="1">
                  <c:v>1500261</c:v>
                </c:pt>
                <c:pt idx="2">
                  <c:v>1500315</c:v>
                </c:pt>
                <c:pt idx="3">
                  <c:v>1504278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E-437C-B475-4D8FAA4A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462655"/>
        <c:axId val="1949455935"/>
      </c:lineChart>
      <c:catAx>
        <c:axId val="1949462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 of 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49455935"/>
        <c:crosses val="autoZero"/>
        <c:auto val="1"/>
        <c:lblAlgn val="ctr"/>
        <c:lblOffset val="100"/>
        <c:noMultiLvlLbl val="0"/>
      </c:catAx>
      <c:valAx>
        <c:axId val="19494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Number</a:t>
                </a:r>
                <a:r>
                  <a:rPr lang="sl-SI" baseline="0"/>
                  <a:t> of Writeback data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94946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27212</xdr:colOff>
      <xdr:row>24</xdr:row>
      <xdr:rowOff>0</xdr:rowOff>
    </xdr:from>
    <xdr:to>
      <xdr:col>10</xdr:col>
      <xdr:colOff>489857</xdr:colOff>
      <xdr:row>46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63FD2-9A5D-060D-7AD9-E99C99A6B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183695</xdr:colOff>
      <xdr:row>23</xdr:row>
      <xdr:rowOff>186417</xdr:rowOff>
    </xdr:from>
    <xdr:to>
      <xdr:col>20</xdr:col>
      <xdr:colOff>476249</xdr:colOff>
      <xdr:row>46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100419-148C-D283-F5EB-66AF1D212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455837</xdr:colOff>
      <xdr:row>23</xdr:row>
      <xdr:rowOff>118381</xdr:rowOff>
    </xdr:from>
    <xdr:to>
      <xdr:col>30</xdr:col>
      <xdr:colOff>95250</xdr:colOff>
      <xdr:row>47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4956B7-21EF-754D-79F8-4AC60EDC4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547887</xdr:colOff>
      <xdr:row>1</xdr:row>
      <xdr:rowOff>105573</xdr:rowOff>
    </xdr:from>
    <xdr:to>
      <xdr:col>26</xdr:col>
      <xdr:colOff>228118</xdr:colOff>
      <xdr:row>24</xdr:row>
      <xdr:rowOff>14406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528B0-2CBA-D1CE-3940-6D7E79249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537882</xdr:colOff>
      <xdr:row>26</xdr:row>
      <xdr:rowOff>79560</xdr:rowOff>
    </xdr:from>
    <xdr:to>
      <xdr:col>26</xdr:col>
      <xdr:colOff>67235</xdr:colOff>
      <xdr:row>47</xdr:row>
      <xdr:rowOff>33617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D29B55-D7A3-4F4D-FA5C-DAFAE6A0C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605117</xdr:colOff>
      <xdr:row>54</xdr:row>
      <xdr:rowOff>12326</xdr:rowOff>
    </xdr:from>
    <xdr:to>
      <xdr:col>8</xdr:col>
      <xdr:colOff>44824</xdr:colOff>
      <xdr:row>75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9A9F78-6023-C4A7-5B0C-F7166EA46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78440</xdr:colOff>
      <xdr:row>53</xdr:row>
      <xdr:rowOff>146795</xdr:rowOff>
    </xdr:from>
    <xdr:to>
      <xdr:col>16</xdr:col>
      <xdr:colOff>100853</xdr:colOff>
      <xdr:row>75</xdr:row>
      <xdr:rowOff>156882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BC3AB8-158A-5C51-A009-FE93BDAC6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414337</xdr:colOff>
      <xdr:row>2</xdr:row>
      <xdr:rowOff>14286</xdr:rowOff>
    </xdr:from>
    <xdr:to>
      <xdr:col>15</xdr:col>
      <xdr:colOff>238125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6598F-5A07-8802-5FD2-4FDA7F10E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385761</xdr:colOff>
      <xdr:row>21</xdr:row>
      <xdr:rowOff>23811</xdr:rowOff>
    </xdr:from>
    <xdr:to>
      <xdr:col>15</xdr:col>
      <xdr:colOff>257174</xdr:colOff>
      <xdr:row>40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FC87A-354F-4C07-591C-77504CE85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455838</xdr:colOff>
      <xdr:row>2</xdr:row>
      <xdr:rowOff>9524</xdr:rowOff>
    </xdr:from>
    <xdr:to>
      <xdr:col>23</xdr:col>
      <xdr:colOff>489856</xdr:colOff>
      <xdr:row>19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49D8E0-5F92-D4FD-517D-C6A89EC00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84C2-5355-47E5-A7E9-527C77F28C8B}">
  <dimension ref="B3:AH21"/>
  <sheetViews>
    <sheetView topLeftCell="P16" zoomScaleNormal="100" workbookViewId="0">
      <selection activeCell="X19" sqref="X19"/>
    </sheetView>
  </sheetViews>
  <sheetFormatPr defaultRowHeight="15" x14ac:dyDescent="0.25"/>
  <cols>
    <col min="2" max="2" width="9.85546875" bestFit="1" customWidth="1"/>
    <col min="3" max="3" width="10.140625" bestFit="1" customWidth="1"/>
    <col min="4" max="4" width="9.7109375" bestFit="1" customWidth="1"/>
    <col min="6" max="6" width="12.42578125" bestFit="1" customWidth="1"/>
    <col min="9" max="9" width="13.5703125" bestFit="1" customWidth="1"/>
    <col min="15" max="16" width="13.5703125" bestFit="1" customWidth="1"/>
    <col min="17" max="17" width="11.140625" bestFit="1" customWidth="1"/>
    <col min="18" max="20" width="12.5703125" bestFit="1" customWidth="1"/>
    <col min="23" max="23" width="23.140625" bestFit="1" customWidth="1"/>
    <col min="30" max="30" width="23.140625" bestFit="1" customWidth="1"/>
  </cols>
  <sheetData>
    <row r="3" spans="2:34" x14ac:dyDescent="0.25">
      <c r="B3" t="s">
        <v>0</v>
      </c>
      <c r="C3">
        <v>2</v>
      </c>
      <c r="D3">
        <v>4</v>
      </c>
      <c r="E3">
        <v>8</v>
      </c>
      <c r="F3">
        <v>16</v>
      </c>
      <c r="I3" t="s">
        <v>17</v>
      </c>
      <c r="J3">
        <v>2</v>
      </c>
      <c r="K3">
        <v>4</v>
      </c>
      <c r="L3">
        <v>8</v>
      </c>
      <c r="M3">
        <v>16</v>
      </c>
      <c r="P3" t="s">
        <v>18</v>
      </c>
      <c r="Q3">
        <v>2</v>
      </c>
      <c r="R3">
        <v>4</v>
      </c>
      <c r="S3">
        <v>8</v>
      </c>
      <c r="T3">
        <v>16</v>
      </c>
      <c r="W3" t="s">
        <v>20</v>
      </c>
      <c r="X3">
        <v>2</v>
      </c>
      <c r="Y3">
        <v>4</v>
      </c>
      <c r="Z3">
        <v>8</v>
      </c>
      <c r="AA3">
        <v>16</v>
      </c>
      <c r="AD3" t="s">
        <v>21</v>
      </c>
      <c r="AE3">
        <v>2</v>
      </c>
      <c r="AF3">
        <v>4</v>
      </c>
      <c r="AG3">
        <v>8</v>
      </c>
      <c r="AH3">
        <v>16</v>
      </c>
    </row>
    <row r="4" spans="2:34" x14ac:dyDescent="0.25">
      <c r="B4" t="s">
        <v>1</v>
      </c>
      <c r="C4" s="1">
        <v>1.639826</v>
      </c>
      <c r="D4" s="1">
        <v>1.860395</v>
      </c>
      <c r="E4" s="1">
        <v>1.9539359999999999</v>
      </c>
      <c r="F4" s="1">
        <v>1.938868</v>
      </c>
      <c r="I4" t="s">
        <v>1</v>
      </c>
      <c r="J4">
        <v>90095</v>
      </c>
      <c r="K4">
        <v>58008</v>
      </c>
      <c r="L4">
        <v>36018</v>
      </c>
      <c r="M4">
        <v>35223</v>
      </c>
      <c r="P4" t="s">
        <v>1</v>
      </c>
      <c r="Q4">
        <v>1288130</v>
      </c>
      <c r="R4">
        <v>842101</v>
      </c>
      <c r="S4">
        <v>652111</v>
      </c>
      <c r="T4">
        <v>792157</v>
      </c>
      <c r="W4" t="s">
        <v>22</v>
      </c>
      <c r="X4">
        <v>56724</v>
      </c>
      <c r="Y4">
        <v>26817</v>
      </c>
      <c r="Z4">
        <v>15543</v>
      </c>
      <c r="AA4">
        <v>15880</v>
      </c>
      <c r="AD4" t="s">
        <v>23</v>
      </c>
      <c r="AE4">
        <v>5982080</v>
      </c>
      <c r="AF4">
        <v>9988992</v>
      </c>
      <c r="AG4">
        <v>10703104</v>
      </c>
      <c r="AH4">
        <v>13912384</v>
      </c>
    </row>
    <row r="5" spans="2:34" x14ac:dyDescent="0.25">
      <c r="B5" t="s">
        <v>2</v>
      </c>
      <c r="C5" s="1">
        <v>1.639826</v>
      </c>
      <c r="D5" s="1">
        <v>1.762005</v>
      </c>
      <c r="E5" s="1">
        <v>1.721147</v>
      </c>
      <c r="F5" s="1">
        <v>1.58927</v>
      </c>
      <c r="I5" t="s">
        <v>2</v>
      </c>
      <c r="J5">
        <v>88212</v>
      </c>
      <c r="K5">
        <v>53988</v>
      </c>
      <c r="L5">
        <v>27126</v>
      </c>
      <c r="M5">
        <v>16867</v>
      </c>
      <c r="P5" t="s">
        <v>2</v>
      </c>
      <c r="Q5">
        <v>1253874</v>
      </c>
      <c r="R5">
        <v>782782</v>
      </c>
      <c r="S5">
        <v>569169</v>
      </c>
      <c r="T5">
        <v>637460</v>
      </c>
    </row>
    <row r="6" spans="2:34" x14ac:dyDescent="0.25">
      <c r="B6" t="s">
        <v>3</v>
      </c>
      <c r="C6" t="s">
        <v>19</v>
      </c>
      <c r="D6" s="1">
        <v>1.7434829999999999</v>
      </c>
      <c r="E6" s="1">
        <v>1.69217</v>
      </c>
      <c r="F6" s="1">
        <v>1.583807</v>
      </c>
      <c r="I6" t="s">
        <v>3</v>
      </c>
      <c r="J6" t="s">
        <v>19</v>
      </c>
      <c r="K6">
        <v>53348</v>
      </c>
      <c r="L6">
        <v>26092</v>
      </c>
      <c r="M6">
        <v>14424</v>
      </c>
      <c r="P6" t="s">
        <v>3</v>
      </c>
      <c r="Q6" t="s">
        <v>19</v>
      </c>
      <c r="R6">
        <v>788820</v>
      </c>
      <c r="S6">
        <v>574013</v>
      </c>
      <c r="T6">
        <v>662438</v>
      </c>
    </row>
    <row r="7" spans="2:34" x14ac:dyDescent="0.25">
      <c r="B7" t="s">
        <v>4</v>
      </c>
      <c r="C7" t="s">
        <v>19</v>
      </c>
      <c r="D7" s="1">
        <v>1.7141329999999999</v>
      </c>
      <c r="E7" s="1">
        <v>1.69554</v>
      </c>
      <c r="F7" s="1">
        <v>1.56298</v>
      </c>
      <c r="I7" t="s">
        <v>4</v>
      </c>
      <c r="J7" t="s">
        <v>19</v>
      </c>
      <c r="K7">
        <v>51768</v>
      </c>
      <c r="L7">
        <v>26092</v>
      </c>
      <c r="M7">
        <v>13888</v>
      </c>
      <c r="P7" t="s">
        <v>4</v>
      </c>
      <c r="Q7" t="s">
        <v>19</v>
      </c>
      <c r="R7">
        <v>792935</v>
      </c>
      <c r="S7">
        <v>572110</v>
      </c>
      <c r="T7">
        <v>667876</v>
      </c>
    </row>
    <row r="8" spans="2:34" x14ac:dyDescent="0.25">
      <c r="B8" t="s">
        <v>5</v>
      </c>
      <c r="C8" t="s">
        <v>19</v>
      </c>
      <c r="D8" t="s">
        <v>19</v>
      </c>
      <c r="E8" s="1">
        <v>1.6726799999999999</v>
      </c>
      <c r="F8" s="1">
        <v>1.542713</v>
      </c>
      <c r="I8" t="s">
        <v>5</v>
      </c>
      <c r="J8" t="s">
        <v>19</v>
      </c>
      <c r="K8" t="s">
        <v>19</v>
      </c>
      <c r="L8">
        <v>25293</v>
      </c>
      <c r="M8">
        <v>13192</v>
      </c>
      <c r="P8" t="s">
        <v>5</v>
      </c>
      <c r="Q8" t="s">
        <v>19</v>
      </c>
      <c r="R8" t="s">
        <v>19</v>
      </c>
      <c r="S8">
        <v>574609</v>
      </c>
      <c r="T8">
        <v>672885</v>
      </c>
    </row>
    <row r="9" spans="2:34" x14ac:dyDescent="0.25">
      <c r="B9" t="s">
        <v>6</v>
      </c>
      <c r="C9" t="s">
        <v>19</v>
      </c>
      <c r="D9" t="s">
        <v>19</v>
      </c>
      <c r="E9" s="1">
        <v>1.6690179999999999</v>
      </c>
      <c r="F9" s="1">
        <v>1.5392170000000001</v>
      </c>
      <c r="I9" t="s">
        <v>6</v>
      </c>
      <c r="J9" t="s">
        <v>19</v>
      </c>
      <c r="K9" t="s">
        <v>19</v>
      </c>
      <c r="L9">
        <v>25355</v>
      </c>
      <c r="M9">
        <v>12818</v>
      </c>
      <c r="P9" t="s">
        <v>6</v>
      </c>
      <c r="Q9" t="s">
        <v>19</v>
      </c>
      <c r="R9" t="s">
        <v>19</v>
      </c>
      <c r="S9">
        <v>577214</v>
      </c>
      <c r="T9">
        <v>680266</v>
      </c>
    </row>
    <row r="10" spans="2:34" x14ac:dyDescent="0.25">
      <c r="B10" t="s">
        <v>7</v>
      </c>
      <c r="C10" t="s">
        <v>19</v>
      </c>
      <c r="D10" t="s">
        <v>19</v>
      </c>
      <c r="E10" s="1">
        <v>1.6507499999999999</v>
      </c>
      <c r="F10" s="1">
        <v>1.535447</v>
      </c>
      <c r="I10" t="s">
        <v>7</v>
      </c>
      <c r="J10" t="s">
        <v>19</v>
      </c>
      <c r="K10" t="s">
        <v>19</v>
      </c>
      <c r="L10">
        <v>24540</v>
      </c>
      <c r="M10">
        <v>13154</v>
      </c>
      <c r="P10" t="s">
        <v>7</v>
      </c>
      <c r="Q10" t="s">
        <v>19</v>
      </c>
      <c r="R10" t="s">
        <v>19</v>
      </c>
      <c r="S10">
        <v>579076</v>
      </c>
      <c r="T10">
        <v>674738</v>
      </c>
    </row>
    <row r="11" spans="2:34" x14ac:dyDescent="0.25">
      <c r="B11" t="s">
        <v>8</v>
      </c>
      <c r="C11" t="s">
        <v>19</v>
      </c>
      <c r="D11" t="s">
        <v>19</v>
      </c>
      <c r="E11" s="1">
        <v>1.6196360000000001</v>
      </c>
      <c r="F11" s="1">
        <v>1.5250030000000001</v>
      </c>
      <c r="I11" t="s">
        <v>8</v>
      </c>
      <c r="J11" t="s">
        <v>19</v>
      </c>
      <c r="K11" t="s">
        <v>19</v>
      </c>
      <c r="L11">
        <v>23429</v>
      </c>
      <c r="M11">
        <v>11746</v>
      </c>
      <c r="P11" t="s">
        <v>8</v>
      </c>
      <c r="Q11" t="s">
        <v>19</v>
      </c>
      <c r="R11" t="s">
        <v>19</v>
      </c>
      <c r="S11">
        <v>587160</v>
      </c>
      <c r="T11">
        <v>693986</v>
      </c>
    </row>
    <row r="12" spans="2:34" x14ac:dyDescent="0.25">
      <c r="B12" t="s">
        <v>9</v>
      </c>
      <c r="C12" t="s">
        <v>19</v>
      </c>
      <c r="D12" t="s">
        <v>19</v>
      </c>
      <c r="E12" t="s">
        <v>19</v>
      </c>
      <c r="F12" s="1">
        <v>1.5433520000000001</v>
      </c>
      <c r="I12" t="s">
        <v>9</v>
      </c>
      <c r="J12" t="s">
        <v>19</v>
      </c>
      <c r="K12" t="s">
        <v>19</v>
      </c>
      <c r="L12" t="s">
        <v>19</v>
      </c>
      <c r="M12">
        <v>16581</v>
      </c>
      <c r="P12" t="s">
        <v>9</v>
      </c>
      <c r="Q12" t="s">
        <v>19</v>
      </c>
      <c r="R12" t="s">
        <v>19</v>
      </c>
      <c r="S12" t="s">
        <v>19</v>
      </c>
      <c r="T12">
        <v>639189</v>
      </c>
    </row>
    <row r="13" spans="2:34" x14ac:dyDescent="0.25">
      <c r="B13" t="s">
        <v>10</v>
      </c>
      <c r="C13" t="s">
        <v>19</v>
      </c>
      <c r="D13" t="s">
        <v>19</v>
      </c>
      <c r="E13" t="s">
        <v>19</v>
      </c>
      <c r="F13" s="1">
        <v>1.531293</v>
      </c>
      <c r="I13" t="s">
        <v>10</v>
      </c>
      <c r="J13" t="s">
        <v>19</v>
      </c>
      <c r="K13" t="s">
        <v>19</v>
      </c>
      <c r="L13" t="s">
        <v>19</v>
      </c>
      <c r="M13">
        <v>15893</v>
      </c>
      <c r="P13" t="s">
        <v>10</v>
      </c>
      <c r="Q13" t="s">
        <v>19</v>
      </c>
      <c r="R13" t="s">
        <v>19</v>
      </c>
      <c r="S13" t="s">
        <v>19</v>
      </c>
      <c r="T13">
        <v>645707</v>
      </c>
    </row>
    <row r="14" spans="2:34" x14ac:dyDescent="0.25">
      <c r="B14" t="s">
        <v>11</v>
      </c>
      <c r="C14" t="s">
        <v>19</v>
      </c>
      <c r="D14" t="s">
        <v>19</v>
      </c>
      <c r="E14" t="s">
        <v>19</v>
      </c>
      <c r="F14" s="1">
        <v>1.511253</v>
      </c>
      <c r="I14" t="s">
        <v>11</v>
      </c>
      <c r="J14" t="s">
        <v>19</v>
      </c>
      <c r="K14" t="s">
        <v>19</v>
      </c>
      <c r="L14" t="s">
        <v>19</v>
      </c>
      <c r="M14">
        <v>15384</v>
      </c>
      <c r="P14" t="s">
        <v>11</v>
      </c>
      <c r="Q14" t="s">
        <v>19</v>
      </c>
      <c r="R14" t="s">
        <v>19</v>
      </c>
      <c r="S14" t="s">
        <v>19</v>
      </c>
      <c r="T14">
        <v>652670</v>
      </c>
    </row>
    <row r="15" spans="2:34" x14ac:dyDescent="0.25">
      <c r="B15" t="s">
        <v>12</v>
      </c>
      <c r="C15" t="s">
        <v>19</v>
      </c>
      <c r="D15" t="s">
        <v>19</v>
      </c>
      <c r="E15" t="s">
        <v>19</v>
      </c>
      <c r="F15" s="1">
        <v>1.4964630000000001</v>
      </c>
      <c r="I15" t="s">
        <v>12</v>
      </c>
      <c r="J15" t="s">
        <v>19</v>
      </c>
      <c r="K15" t="s">
        <v>19</v>
      </c>
      <c r="L15" t="s">
        <v>19</v>
      </c>
      <c r="M15">
        <v>15099</v>
      </c>
      <c r="P15" t="s">
        <v>12</v>
      </c>
      <c r="Q15" t="s">
        <v>19</v>
      </c>
      <c r="R15" t="s">
        <v>19</v>
      </c>
      <c r="S15" t="s">
        <v>19</v>
      </c>
      <c r="T15">
        <v>653006</v>
      </c>
    </row>
    <row r="16" spans="2:34" x14ac:dyDescent="0.25">
      <c r="B16" t="s">
        <v>13</v>
      </c>
      <c r="C16" t="s">
        <v>19</v>
      </c>
      <c r="D16" t="s">
        <v>19</v>
      </c>
      <c r="E16" t="s">
        <v>19</v>
      </c>
      <c r="F16" s="1">
        <v>1.4806349999999999</v>
      </c>
      <c r="I16" t="s">
        <v>13</v>
      </c>
      <c r="J16" t="s">
        <v>19</v>
      </c>
      <c r="K16" t="s">
        <v>19</v>
      </c>
      <c r="L16" t="s">
        <v>19</v>
      </c>
      <c r="M16">
        <v>14918</v>
      </c>
      <c r="P16" t="s">
        <v>13</v>
      </c>
      <c r="Q16" t="s">
        <v>19</v>
      </c>
      <c r="R16" t="s">
        <v>19</v>
      </c>
      <c r="S16" t="s">
        <v>19</v>
      </c>
      <c r="T16">
        <v>653211</v>
      </c>
    </row>
    <row r="17" spans="2:20" x14ac:dyDescent="0.25">
      <c r="B17" t="s">
        <v>14</v>
      </c>
      <c r="C17" t="s">
        <v>19</v>
      </c>
      <c r="D17" t="s">
        <v>19</v>
      </c>
      <c r="E17" t="s">
        <v>19</v>
      </c>
      <c r="F17" s="1">
        <v>1.463598</v>
      </c>
      <c r="I17" t="s">
        <v>14</v>
      </c>
      <c r="J17" t="s">
        <v>19</v>
      </c>
      <c r="K17" t="s">
        <v>19</v>
      </c>
      <c r="L17" t="s">
        <v>19</v>
      </c>
      <c r="M17">
        <v>14708</v>
      </c>
      <c r="P17" t="s">
        <v>14</v>
      </c>
      <c r="Q17" t="s">
        <v>19</v>
      </c>
      <c r="R17" t="s">
        <v>19</v>
      </c>
      <c r="S17" t="s">
        <v>19</v>
      </c>
      <c r="T17">
        <v>657459</v>
      </c>
    </row>
    <row r="18" spans="2:20" x14ac:dyDescent="0.25">
      <c r="B18" t="s">
        <v>16</v>
      </c>
      <c r="C18" t="s">
        <v>19</v>
      </c>
      <c r="D18" t="s">
        <v>19</v>
      </c>
      <c r="E18" t="s">
        <v>19</v>
      </c>
      <c r="F18" s="1">
        <v>1.4777260000000001</v>
      </c>
      <c r="I18" t="s">
        <v>16</v>
      </c>
      <c r="J18" t="s">
        <v>19</v>
      </c>
      <c r="K18" t="s">
        <v>19</v>
      </c>
      <c r="L18" t="s">
        <v>19</v>
      </c>
      <c r="M18">
        <v>15080</v>
      </c>
      <c r="P18" t="s">
        <v>16</v>
      </c>
      <c r="Q18" t="s">
        <v>19</v>
      </c>
      <c r="R18" t="s">
        <v>19</v>
      </c>
      <c r="S18" t="s">
        <v>19</v>
      </c>
      <c r="T18">
        <v>650605</v>
      </c>
    </row>
    <row r="19" spans="2:20" x14ac:dyDescent="0.25">
      <c r="B19" t="s">
        <v>15</v>
      </c>
      <c r="C19" t="s">
        <v>19</v>
      </c>
      <c r="D19" t="s">
        <v>19</v>
      </c>
      <c r="E19" t="s">
        <v>19</v>
      </c>
      <c r="F19" s="1">
        <v>1.4287479999999999</v>
      </c>
      <c r="I19" t="s">
        <v>15</v>
      </c>
      <c r="J19" t="s">
        <v>19</v>
      </c>
      <c r="K19" t="s">
        <v>19</v>
      </c>
      <c r="L19" t="s">
        <v>19</v>
      </c>
      <c r="M19">
        <v>14995</v>
      </c>
      <c r="P19" t="s">
        <v>15</v>
      </c>
      <c r="Q19" t="s">
        <v>19</v>
      </c>
      <c r="R19" t="s">
        <v>19</v>
      </c>
      <c r="S19" t="s">
        <v>19</v>
      </c>
      <c r="T19">
        <v>655723</v>
      </c>
    </row>
    <row r="20" spans="2:20" x14ac:dyDescent="0.25">
      <c r="B20" s="2" t="s">
        <v>24</v>
      </c>
      <c r="C20" s="3">
        <f>AVERAGE((C4:C5))</f>
        <v>1.639826</v>
      </c>
      <c r="D20" s="3">
        <f>AVERAGE((D4:D7))</f>
        <v>1.7700040000000001</v>
      </c>
      <c r="E20" s="3">
        <f>AVERAGE((E4:E11))</f>
        <v>1.709359625</v>
      </c>
      <c r="F20" s="3">
        <f>AVERAGE((F4:F19))</f>
        <v>1.5468983125</v>
      </c>
      <c r="I20" s="2" t="s">
        <v>24</v>
      </c>
      <c r="J20" s="3">
        <f>AVERAGE((J4:J5))</f>
        <v>89153.5</v>
      </c>
      <c r="K20" s="3">
        <f>AVERAGE((K4:K7))</f>
        <v>54278</v>
      </c>
      <c r="L20" s="3">
        <f>AVERAGE((L4:L11))</f>
        <v>26743.125</v>
      </c>
      <c r="M20" s="3">
        <f>AVERAGE((M4:M19))</f>
        <v>15873.125</v>
      </c>
      <c r="P20" s="2" t="s">
        <v>24</v>
      </c>
      <c r="Q20" s="3">
        <f>AVERAGE((Q4:Q5))</f>
        <v>1271002</v>
      </c>
      <c r="R20" s="3">
        <f>AVERAGE((R4:R7))</f>
        <v>801659.5</v>
      </c>
      <c r="S20" s="3">
        <f>AVERAGE((S4:S11))</f>
        <v>585682.75</v>
      </c>
      <c r="T20" s="3">
        <f>AVERAGE((T4:T19))</f>
        <v>668086</v>
      </c>
    </row>
    <row r="21" spans="2:20" x14ac:dyDescent="0.25">
      <c r="B21" s="2" t="s">
        <v>25</v>
      </c>
      <c r="C21" s="2">
        <f>STDEVP((C4:C5))</f>
        <v>0</v>
      </c>
      <c r="D21" s="2">
        <f>STDEVP((D4:D7))</f>
        <v>5.4907761209140593E-2</v>
      </c>
      <c r="E21" s="2">
        <f>STDEVP((E4:E11))</f>
        <v>9.6760832264322583E-2</v>
      </c>
      <c r="F21" s="2">
        <f>STDEVP((F4:F20))</f>
        <v>0.10624278780876695</v>
      </c>
      <c r="I21" s="2" t="s">
        <v>25</v>
      </c>
      <c r="J21" s="2">
        <f>STDEVP((J4:J5))</f>
        <v>941.5</v>
      </c>
      <c r="K21" s="2">
        <f>STDEVP((K4:K7))</f>
        <v>2300.1086930838724</v>
      </c>
      <c r="L21" s="2">
        <f>STDEVP((L4:L11))</f>
        <v>3655.2148513288516</v>
      </c>
      <c r="M21" s="2">
        <f>STDEVP((M4:M20))</f>
        <v>5014.1275808518094</v>
      </c>
      <c r="P21" s="2" t="s">
        <v>25</v>
      </c>
      <c r="Q21" s="2">
        <f>STDEVP((Q4:Q5))</f>
        <v>17128</v>
      </c>
      <c r="R21" s="3">
        <f>STDEVP((R4:R7))</f>
        <v>23626.492487248292</v>
      </c>
      <c r="S21" s="3">
        <f>STDEVP((S4:S11))</f>
        <v>25607.611230598999</v>
      </c>
      <c r="T21" s="3">
        <f>STDEVP((T4:T20))</f>
        <v>34165.25102222673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94C9-B036-49F9-BDE9-250458FBAA28}">
  <dimension ref="B1:N53"/>
  <sheetViews>
    <sheetView topLeftCell="C40" zoomScale="85" zoomScaleNormal="85" workbookViewId="0">
      <selection activeCell="AC26" sqref="AC26"/>
    </sheetView>
  </sheetViews>
  <sheetFormatPr defaultRowHeight="15" x14ac:dyDescent="0.25"/>
  <cols>
    <col min="2" max="2" width="38" bestFit="1" customWidth="1"/>
    <col min="3" max="3" width="9.5703125" bestFit="1" customWidth="1"/>
    <col min="4" max="4" width="14" bestFit="1" customWidth="1"/>
    <col min="6" max="6" width="11.7109375" bestFit="1" customWidth="1"/>
    <col min="10" max="10" width="34.140625" bestFit="1" customWidth="1"/>
    <col min="12" max="12" width="14" bestFit="1" customWidth="1"/>
  </cols>
  <sheetData>
    <row r="1" spans="2:14" x14ac:dyDescent="0.25">
      <c r="D1" t="s">
        <v>26</v>
      </c>
      <c r="L1" t="s">
        <v>27</v>
      </c>
    </row>
    <row r="3" spans="2:14" x14ac:dyDescent="0.25">
      <c r="B3" t="s">
        <v>0</v>
      </c>
      <c r="C3">
        <v>2</v>
      </c>
      <c r="D3">
        <v>4</v>
      </c>
      <c r="E3">
        <v>8</v>
      </c>
      <c r="F3">
        <v>16</v>
      </c>
      <c r="J3" t="s">
        <v>0</v>
      </c>
      <c r="K3">
        <v>2</v>
      </c>
      <c r="L3">
        <v>4</v>
      </c>
      <c r="M3">
        <v>8</v>
      </c>
      <c r="N3">
        <v>16</v>
      </c>
    </row>
    <row r="4" spans="2:14" x14ac:dyDescent="0.25">
      <c r="B4" t="s">
        <v>1</v>
      </c>
      <c r="C4" s="1">
        <v>5.2118570000000002</v>
      </c>
      <c r="D4" s="1">
        <v>5.282978</v>
      </c>
      <c r="E4" s="1">
        <v>4.8830439999999999</v>
      </c>
      <c r="F4" s="1">
        <v>4.835528</v>
      </c>
      <c r="J4" t="s">
        <v>1</v>
      </c>
      <c r="K4" s="1">
        <v>3.8218130000000001</v>
      </c>
      <c r="L4" s="1">
        <v>3.8525149999999999</v>
      </c>
      <c r="M4" s="1">
        <v>4.0938559999999997</v>
      </c>
      <c r="N4" s="1">
        <v>4.6387980000000004</v>
      </c>
    </row>
    <row r="5" spans="2:14" x14ac:dyDescent="0.25">
      <c r="B5" t="s">
        <v>2</v>
      </c>
      <c r="C5" s="1">
        <v>9.9668050000000008</v>
      </c>
      <c r="D5" s="1">
        <v>15.761304000000001</v>
      </c>
      <c r="E5" s="1">
        <v>19.852198000000001</v>
      </c>
      <c r="F5" s="1">
        <v>24.418634000000001</v>
      </c>
      <c r="J5" t="s">
        <v>2</v>
      </c>
      <c r="K5" s="1">
        <v>8.5797369999999997</v>
      </c>
      <c r="L5" s="1">
        <v>14.430636</v>
      </c>
      <c r="M5" s="1">
        <v>24.122917999999999</v>
      </c>
      <c r="N5" s="1">
        <v>35.573512000000001</v>
      </c>
    </row>
    <row r="6" spans="2:14" x14ac:dyDescent="0.25">
      <c r="B6" t="s">
        <v>3</v>
      </c>
      <c r="C6" t="s">
        <v>19</v>
      </c>
      <c r="D6" s="1">
        <v>15.451979</v>
      </c>
      <c r="E6" s="1">
        <v>27.543817000000001</v>
      </c>
      <c r="F6" s="1">
        <v>40.594794</v>
      </c>
      <c r="J6" t="s">
        <v>3</v>
      </c>
      <c r="K6" t="s">
        <v>19</v>
      </c>
      <c r="L6" s="1">
        <v>13.572595</v>
      </c>
      <c r="M6" s="1">
        <v>23.663119999999999</v>
      </c>
      <c r="N6" s="1">
        <v>34.982377</v>
      </c>
    </row>
    <row r="7" spans="2:14" x14ac:dyDescent="0.25">
      <c r="B7" t="s">
        <v>4</v>
      </c>
      <c r="C7" t="s">
        <v>19</v>
      </c>
      <c r="D7" s="1">
        <v>15.399077</v>
      </c>
      <c r="E7" s="1">
        <v>27.351089000000002</v>
      </c>
      <c r="F7" s="1">
        <v>41.162911999999999</v>
      </c>
      <c r="J7" t="s">
        <v>4</v>
      </c>
      <c r="K7" t="s">
        <v>19</v>
      </c>
      <c r="L7" s="1">
        <v>13.571406</v>
      </c>
      <c r="M7" s="1">
        <v>23.372579999999999</v>
      </c>
      <c r="N7" s="1">
        <v>35.482430000000001</v>
      </c>
    </row>
    <row r="8" spans="2:14" x14ac:dyDescent="0.25">
      <c r="B8" t="s">
        <v>5</v>
      </c>
      <c r="C8" t="s">
        <v>19</v>
      </c>
      <c r="D8" t="s">
        <v>19</v>
      </c>
      <c r="E8" s="1">
        <v>27.010311000000002</v>
      </c>
      <c r="F8" s="1">
        <v>41.582763999999997</v>
      </c>
      <c r="J8" t="s">
        <v>5</v>
      </c>
      <c r="K8" t="s">
        <v>19</v>
      </c>
      <c r="L8" t="s">
        <v>19</v>
      </c>
      <c r="M8" s="1">
        <v>22.915369999999999</v>
      </c>
      <c r="N8" s="1">
        <v>35.734898999999999</v>
      </c>
    </row>
    <row r="9" spans="2:14" x14ac:dyDescent="0.25">
      <c r="B9" t="s">
        <v>6</v>
      </c>
      <c r="C9" t="s">
        <v>19</v>
      </c>
      <c r="D9" t="s">
        <v>19</v>
      </c>
      <c r="E9" s="1">
        <v>26.834493999999999</v>
      </c>
      <c r="F9" s="1">
        <v>42.212668999999998</v>
      </c>
      <c r="J9" t="s">
        <v>6</v>
      </c>
      <c r="K9" t="s">
        <v>19</v>
      </c>
      <c r="L9" t="s">
        <v>19</v>
      </c>
      <c r="M9" s="1">
        <v>23.084420000000001</v>
      </c>
      <c r="N9" s="1">
        <v>36.269036</v>
      </c>
    </row>
    <row r="10" spans="2:14" x14ac:dyDescent="0.25">
      <c r="B10" t="s">
        <v>7</v>
      </c>
      <c r="C10" t="s">
        <v>19</v>
      </c>
      <c r="D10" t="s">
        <v>19</v>
      </c>
      <c r="E10" s="1">
        <v>27.021920999999999</v>
      </c>
      <c r="F10" s="1">
        <v>42.697764999999997</v>
      </c>
      <c r="J10" t="s">
        <v>7</v>
      </c>
      <c r="K10" t="s">
        <v>19</v>
      </c>
      <c r="L10" t="s">
        <v>19</v>
      </c>
      <c r="M10" s="1">
        <v>23.370187999999999</v>
      </c>
      <c r="N10" s="1">
        <v>36.434247999999997</v>
      </c>
    </row>
    <row r="11" spans="2:14" x14ac:dyDescent="0.25">
      <c r="B11" t="s">
        <v>8</v>
      </c>
      <c r="C11" t="s">
        <v>19</v>
      </c>
      <c r="D11" t="s">
        <v>19</v>
      </c>
      <c r="E11" s="1">
        <v>27.277906999999999</v>
      </c>
      <c r="F11" s="1">
        <v>43.628881999999997</v>
      </c>
      <c r="J11" t="s">
        <v>8</v>
      </c>
      <c r="K11" t="s">
        <v>19</v>
      </c>
      <c r="L11" t="s">
        <v>19</v>
      </c>
      <c r="M11" s="1">
        <v>23.661486</v>
      </c>
      <c r="N11" s="1">
        <v>37.680235000000003</v>
      </c>
    </row>
    <row r="12" spans="2:14" x14ac:dyDescent="0.25">
      <c r="B12" t="s">
        <v>9</v>
      </c>
      <c r="C12" t="s">
        <v>19</v>
      </c>
      <c r="D12" t="s">
        <v>19</v>
      </c>
      <c r="E12" t="s">
        <v>19</v>
      </c>
      <c r="F12" s="1">
        <v>43.580145999999999</v>
      </c>
      <c r="J12" t="s">
        <v>9</v>
      </c>
      <c r="K12" t="s">
        <v>19</v>
      </c>
      <c r="L12" t="s">
        <v>19</v>
      </c>
      <c r="M12" t="s">
        <v>19</v>
      </c>
      <c r="N12" s="1">
        <v>37.406115999999997</v>
      </c>
    </row>
    <row r="13" spans="2:14" x14ac:dyDescent="0.25">
      <c r="B13" t="s">
        <v>10</v>
      </c>
      <c r="C13" t="s">
        <v>19</v>
      </c>
      <c r="D13" t="s">
        <v>19</v>
      </c>
      <c r="E13" t="s">
        <v>19</v>
      </c>
      <c r="F13" s="1">
        <v>44.840747</v>
      </c>
      <c r="J13" t="s">
        <v>10</v>
      </c>
      <c r="K13" t="s">
        <v>19</v>
      </c>
      <c r="L13" t="s">
        <v>19</v>
      </c>
      <c r="M13" t="s">
        <v>19</v>
      </c>
      <c r="N13" s="1">
        <v>37.951731000000002</v>
      </c>
    </row>
    <row r="14" spans="2:14" x14ac:dyDescent="0.25">
      <c r="B14" t="s">
        <v>11</v>
      </c>
      <c r="C14" t="s">
        <v>19</v>
      </c>
      <c r="D14" t="s">
        <v>19</v>
      </c>
      <c r="E14" t="s">
        <v>19</v>
      </c>
      <c r="F14" s="1">
        <v>32.308914000000001</v>
      </c>
      <c r="J14" t="s">
        <v>11</v>
      </c>
      <c r="K14" t="s">
        <v>19</v>
      </c>
      <c r="L14" t="s">
        <v>19</v>
      </c>
      <c r="M14" t="s">
        <v>19</v>
      </c>
      <c r="N14" s="1">
        <v>38.665481</v>
      </c>
    </row>
    <row r="15" spans="2:14" x14ac:dyDescent="0.25">
      <c r="B15" t="s">
        <v>12</v>
      </c>
      <c r="C15" t="s">
        <v>19</v>
      </c>
      <c r="D15" t="s">
        <v>19</v>
      </c>
      <c r="E15" t="s">
        <v>19</v>
      </c>
      <c r="F15" s="1">
        <v>32.817368000000002</v>
      </c>
      <c r="J15" t="s">
        <v>12</v>
      </c>
      <c r="K15" t="s">
        <v>19</v>
      </c>
      <c r="L15" t="s">
        <v>19</v>
      </c>
      <c r="M15" t="s">
        <v>19</v>
      </c>
      <c r="N15" s="1">
        <v>39.221710999999999</v>
      </c>
    </row>
    <row r="16" spans="2:14" x14ac:dyDescent="0.25">
      <c r="B16" t="s">
        <v>13</v>
      </c>
      <c r="C16" t="s">
        <v>19</v>
      </c>
      <c r="D16" t="s">
        <v>19</v>
      </c>
      <c r="E16" t="s">
        <v>19</v>
      </c>
      <c r="F16" s="1">
        <v>33.327641999999997</v>
      </c>
      <c r="J16" t="s">
        <v>13</v>
      </c>
      <c r="K16" t="s">
        <v>19</v>
      </c>
      <c r="L16" t="s">
        <v>19</v>
      </c>
      <c r="M16" t="s">
        <v>19</v>
      </c>
      <c r="N16" s="1">
        <v>40.179175999999998</v>
      </c>
    </row>
    <row r="17" spans="2:14" x14ac:dyDescent="0.25">
      <c r="B17" t="s">
        <v>14</v>
      </c>
      <c r="C17" t="s">
        <v>19</v>
      </c>
      <c r="D17" t="s">
        <v>19</v>
      </c>
      <c r="E17" t="s">
        <v>19</v>
      </c>
      <c r="F17" s="1">
        <v>33.731867999999999</v>
      </c>
      <c r="J17" t="s">
        <v>14</v>
      </c>
      <c r="K17" t="s">
        <v>19</v>
      </c>
      <c r="L17" t="s">
        <v>19</v>
      </c>
      <c r="M17" t="s">
        <v>19</v>
      </c>
      <c r="N17" s="1">
        <v>41.177359000000003</v>
      </c>
    </row>
    <row r="18" spans="2:14" x14ac:dyDescent="0.25">
      <c r="B18" t="s">
        <v>16</v>
      </c>
      <c r="C18" t="s">
        <v>19</v>
      </c>
      <c r="D18" t="s">
        <v>19</v>
      </c>
      <c r="E18" t="s">
        <v>19</v>
      </c>
      <c r="F18" s="1">
        <v>34.180714999999999</v>
      </c>
      <c r="J18" t="s">
        <v>16</v>
      </c>
      <c r="K18" t="s">
        <v>19</v>
      </c>
      <c r="L18" t="s">
        <v>19</v>
      </c>
      <c r="M18" t="s">
        <v>19</v>
      </c>
      <c r="N18" s="1">
        <v>42.300151999999997</v>
      </c>
    </row>
    <row r="19" spans="2:14" x14ac:dyDescent="0.25">
      <c r="B19" t="s">
        <v>15</v>
      </c>
      <c r="C19" t="s">
        <v>19</v>
      </c>
      <c r="D19" t="s">
        <v>19</v>
      </c>
      <c r="E19" t="s">
        <v>19</v>
      </c>
      <c r="F19" s="1">
        <v>34.720886</v>
      </c>
      <c r="J19" t="s">
        <v>15</v>
      </c>
      <c r="K19" t="s">
        <v>19</v>
      </c>
      <c r="L19" t="s">
        <v>19</v>
      </c>
      <c r="M19" t="s">
        <v>19</v>
      </c>
      <c r="N19" s="1">
        <v>43.383609</v>
      </c>
    </row>
    <row r="20" spans="2:14" x14ac:dyDescent="0.25">
      <c r="B20" s="2" t="s">
        <v>24</v>
      </c>
      <c r="C20" s="3">
        <f>AVERAGE((C4:C5))</f>
        <v>7.5893310000000005</v>
      </c>
      <c r="D20" s="3">
        <f>AVERAGE((D4:D7))</f>
        <v>12.973834500000001</v>
      </c>
      <c r="E20" s="3">
        <f>AVERAGE((E4:E11))</f>
        <v>23.471847624999999</v>
      </c>
      <c r="F20" s="3">
        <f>AVERAGE((F4:F19))</f>
        <v>35.665139625000002</v>
      </c>
      <c r="J20" s="2" t="s">
        <v>24</v>
      </c>
      <c r="K20" s="3">
        <f>AVERAGE((K4:K5))</f>
        <v>6.2007750000000001</v>
      </c>
      <c r="L20" s="3">
        <f>AVERAGE((L4:L7))</f>
        <v>11.356788</v>
      </c>
      <c r="M20" s="3">
        <f>AVERAGE((M4:M11))</f>
        <v>21.035492250000001</v>
      </c>
      <c r="N20" s="3">
        <f>AVERAGE((N4:N19))</f>
        <v>36.067554375</v>
      </c>
    </row>
    <row r="21" spans="2:14" x14ac:dyDescent="0.25">
      <c r="B21" s="2" t="s">
        <v>25</v>
      </c>
      <c r="C21" s="2">
        <f>STDEVP((C4:C5))</f>
        <v>2.3774740000000003</v>
      </c>
      <c r="D21" s="2">
        <f>STDEVP((D4:D7))</f>
        <v>4.4424728829703879</v>
      </c>
      <c r="E21" s="2">
        <f>STDEVP((E4:E11))</f>
        <v>7.4262385708248413</v>
      </c>
      <c r="F21" s="2">
        <f>STDEVP((F4:F20))</f>
        <v>9.3957217501163139</v>
      </c>
      <c r="J21" s="2" t="s">
        <v>25</v>
      </c>
      <c r="K21" s="2">
        <f>STDEVP((K4:K5))</f>
        <v>2.3789619999999996</v>
      </c>
      <c r="L21" s="2">
        <f>STDEVP((L4:L7))</f>
        <v>4.3467513252084586</v>
      </c>
      <c r="M21" s="2">
        <f>STDEVP((M4:M11))</f>
        <v>6.412841960010975</v>
      </c>
      <c r="N21" s="2">
        <f>STDEVP((N4:N20))</f>
        <v>8.2242199799610329</v>
      </c>
    </row>
    <row r="22" spans="2:14" x14ac:dyDescent="0.25">
      <c r="B22" s="2" t="s">
        <v>28</v>
      </c>
      <c r="C22" s="4">
        <v>1.438E-3</v>
      </c>
      <c r="D22" s="4">
        <v>7.36E-4</v>
      </c>
      <c r="E22" s="4">
        <v>4.9299999999999995E-4</v>
      </c>
      <c r="F22" s="4">
        <v>3.5399999999999999E-4</v>
      </c>
      <c r="J22" s="2" t="s">
        <v>28</v>
      </c>
      <c r="K22" s="4">
        <v>1.0529999999999999E-3</v>
      </c>
      <c r="L22" s="4">
        <v>5.3799999999999996E-4</v>
      </c>
      <c r="M22" s="4">
        <v>2.9999999999999997E-4</v>
      </c>
      <c r="N22" s="4">
        <v>2.0100000000000001E-4</v>
      </c>
    </row>
    <row r="23" spans="2:14" x14ac:dyDescent="0.25">
      <c r="B23" s="2" t="s">
        <v>29</v>
      </c>
      <c r="C23" s="5">
        <v>29.232794326</v>
      </c>
      <c r="D23" s="5">
        <v>40.432397672</v>
      </c>
      <c r="E23" s="5">
        <v>63.977127078000002</v>
      </c>
      <c r="F23" s="5">
        <v>115.28197671700001</v>
      </c>
      <c r="J23" s="2" t="s">
        <v>29</v>
      </c>
      <c r="K23" s="5">
        <v>28.658033884999998</v>
      </c>
      <c r="L23" s="5">
        <v>38.892370939000003</v>
      </c>
      <c r="M23" s="5">
        <v>62.740599904</v>
      </c>
      <c r="N23" s="5">
        <v>115.619884038</v>
      </c>
    </row>
    <row r="25" spans="2:14" x14ac:dyDescent="0.25">
      <c r="D25" t="s">
        <v>26</v>
      </c>
      <c r="L25" t="s">
        <v>27</v>
      </c>
    </row>
    <row r="26" spans="2:14" x14ac:dyDescent="0.25">
      <c r="B26" t="s">
        <v>30</v>
      </c>
      <c r="C26">
        <v>2</v>
      </c>
      <c r="D26">
        <v>4</v>
      </c>
      <c r="E26">
        <v>8</v>
      </c>
      <c r="F26">
        <v>16</v>
      </c>
      <c r="J26" t="s">
        <v>30</v>
      </c>
      <c r="K26">
        <v>2</v>
      </c>
      <c r="L26">
        <v>4</v>
      </c>
      <c r="M26">
        <v>8</v>
      </c>
      <c r="N26">
        <v>16</v>
      </c>
    </row>
    <row r="27" spans="2:14" x14ac:dyDescent="0.25">
      <c r="C27">
        <v>30384</v>
      </c>
      <c r="D27">
        <v>31976</v>
      </c>
      <c r="E27">
        <v>63728</v>
      </c>
      <c r="F27">
        <v>81364</v>
      </c>
      <c r="K27">
        <v>550</v>
      </c>
      <c r="L27">
        <v>712</v>
      </c>
      <c r="M27">
        <v>1750</v>
      </c>
      <c r="N27">
        <v>3133</v>
      </c>
    </row>
    <row r="33" spans="2:14" x14ac:dyDescent="0.25">
      <c r="D33" t="s">
        <v>26</v>
      </c>
      <c r="L33" t="s">
        <v>27</v>
      </c>
    </row>
    <row r="34" spans="2:14" x14ac:dyDescent="0.25">
      <c r="B34" t="s">
        <v>31</v>
      </c>
      <c r="C34">
        <v>2</v>
      </c>
      <c r="D34">
        <v>4</v>
      </c>
      <c r="E34">
        <v>8</v>
      </c>
      <c r="F34">
        <v>16</v>
      </c>
      <c r="J34" t="s">
        <v>31</v>
      </c>
      <c r="K34">
        <v>2</v>
      </c>
      <c r="L34">
        <v>4</v>
      </c>
      <c r="M34">
        <v>8</v>
      </c>
      <c r="N34">
        <v>16</v>
      </c>
    </row>
    <row r="35" spans="2:14" x14ac:dyDescent="0.25">
      <c r="B35" t="s">
        <v>32</v>
      </c>
      <c r="C35">
        <v>30384</v>
      </c>
      <c r="D35">
        <v>31368</v>
      </c>
      <c r="E35">
        <v>63728</v>
      </c>
      <c r="F35">
        <v>57754</v>
      </c>
      <c r="J35" t="s">
        <v>32</v>
      </c>
      <c r="K35">
        <v>10</v>
      </c>
      <c r="L35">
        <v>19</v>
      </c>
      <c r="M35">
        <v>1750</v>
      </c>
      <c r="N35">
        <v>188</v>
      </c>
    </row>
    <row r="36" spans="2:14" x14ac:dyDescent="0.25">
      <c r="B36" t="s">
        <v>33</v>
      </c>
      <c r="C36">
        <v>95525</v>
      </c>
      <c r="D36">
        <v>100108</v>
      </c>
      <c r="E36">
        <v>90672</v>
      </c>
      <c r="F36">
        <v>109812</v>
      </c>
      <c r="J36" t="s">
        <v>33</v>
      </c>
      <c r="K36">
        <v>550</v>
      </c>
      <c r="L36">
        <v>70389</v>
      </c>
      <c r="M36">
        <v>74275</v>
      </c>
      <c r="N36">
        <v>88962</v>
      </c>
    </row>
    <row r="37" spans="2:14" x14ac:dyDescent="0.25">
      <c r="B37" t="s">
        <v>34</v>
      </c>
      <c r="C37">
        <v>81888</v>
      </c>
      <c r="D37">
        <v>81864</v>
      </c>
      <c r="E37">
        <v>104732</v>
      </c>
      <c r="F37">
        <v>81364</v>
      </c>
      <c r="J37" t="s">
        <v>34</v>
      </c>
      <c r="K37">
        <v>106532</v>
      </c>
      <c r="L37">
        <v>75641</v>
      </c>
      <c r="M37">
        <v>121767</v>
      </c>
      <c r="N37">
        <v>104358</v>
      </c>
    </row>
    <row r="38" spans="2:14" x14ac:dyDescent="0.25">
      <c r="B38" t="s">
        <v>35</v>
      </c>
      <c r="C38">
        <v>532598</v>
      </c>
      <c r="D38">
        <v>527817</v>
      </c>
      <c r="E38">
        <v>556559</v>
      </c>
      <c r="F38">
        <v>688438</v>
      </c>
      <c r="J38" t="s">
        <v>35</v>
      </c>
      <c r="K38">
        <v>571037</v>
      </c>
      <c r="L38">
        <v>712</v>
      </c>
      <c r="M38">
        <v>582690</v>
      </c>
      <c r="N38">
        <v>676755</v>
      </c>
    </row>
    <row r="42" spans="2:14" x14ac:dyDescent="0.25">
      <c r="D42" t="s">
        <v>26</v>
      </c>
      <c r="L42" t="s">
        <v>27</v>
      </c>
    </row>
    <row r="43" spans="2:14" x14ac:dyDescent="0.25">
      <c r="B43" t="s">
        <v>36</v>
      </c>
      <c r="C43">
        <v>2</v>
      </c>
      <c r="D43">
        <v>4</v>
      </c>
      <c r="E43">
        <v>8</v>
      </c>
      <c r="F43">
        <v>16</v>
      </c>
      <c r="J43" t="s">
        <v>36</v>
      </c>
      <c r="K43">
        <v>2</v>
      </c>
      <c r="L43">
        <v>4</v>
      </c>
      <c r="M43">
        <v>8</v>
      </c>
      <c r="N43">
        <v>16</v>
      </c>
    </row>
    <row r="44" spans="2:14" x14ac:dyDescent="0.25">
      <c r="B44" t="s">
        <v>37</v>
      </c>
      <c r="C44">
        <v>35182</v>
      </c>
      <c r="D44">
        <v>36304</v>
      </c>
      <c r="E44">
        <v>103376</v>
      </c>
      <c r="F44">
        <v>167767</v>
      </c>
      <c r="J44" t="s">
        <v>37</v>
      </c>
      <c r="K44">
        <v>4193</v>
      </c>
      <c r="L44">
        <v>4291</v>
      </c>
      <c r="M44">
        <v>4511</v>
      </c>
      <c r="N44">
        <v>4947</v>
      </c>
    </row>
    <row r="45" spans="2:14" x14ac:dyDescent="0.25">
      <c r="B45" t="s">
        <v>38</v>
      </c>
      <c r="C45">
        <v>33425</v>
      </c>
      <c r="D45">
        <v>35001</v>
      </c>
      <c r="E45">
        <v>142339</v>
      </c>
      <c r="F45">
        <v>195364</v>
      </c>
      <c r="J45" t="s">
        <v>38</v>
      </c>
      <c r="K45">
        <v>88</v>
      </c>
      <c r="L45">
        <v>204</v>
      </c>
      <c r="M45">
        <v>436</v>
      </c>
      <c r="N45">
        <v>991</v>
      </c>
    </row>
    <row r="49" spans="2:14" x14ac:dyDescent="0.25">
      <c r="D49" t="s">
        <v>26</v>
      </c>
      <c r="L49" t="s">
        <v>27</v>
      </c>
    </row>
    <row r="50" spans="2:14" x14ac:dyDescent="0.25">
      <c r="B50" t="s">
        <v>39</v>
      </c>
      <c r="C50">
        <v>2</v>
      </c>
      <c r="D50">
        <v>4</v>
      </c>
      <c r="E50">
        <v>8</v>
      </c>
      <c r="F50">
        <v>16</v>
      </c>
      <c r="J50" t="s">
        <v>39</v>
      </c>
      <c r="K50">
        <v>2</v>
      </c>
      <c r="L50">
        <v>4</v>
      </c>
      <c r="M50">
        <v>8</v>
      </c>
      <c r="N50">
        <v>16</v>
      </c>
    </row>
    <row r="51" spans="2:14" x14ac:dyDescent="0.25">
      <c r="B51" t="s">
        <v>40</v>
      </c>
      <c r="C51">
        <v>182204</v>
      </c>
      <c r="D51">
        <v>190588</v>
      </c>
      <c r="E51">
        <v>256840</v>
      </c>
      <c r="F51">
        <v>293576</v>
      </c>
      <c r="J51" t="s">
        <v>40</v>
      </c>
      <c r="K51">
        <v>1180</v>
      </c>
      <c r="L51">
        <v>1602</v>
      </c>
      <c r="M51">
        <v>3822</v>
      </c>
      <c r="N51">
        <v>7106</v>
      </c>
    </row>
    <row r="52" spans="2:14" x14ac:dyDescent="0.25">
      <c r="B52" t="s">
        <v>41</v>
      </c>
      <c r="C52">
        <v>198766</v>
      </c>
      <c r="D52">
        <v>205514</v>
      </c>
      <c r="E52">
        <v>273326</v>
      </c>
      <c r="F52">
        <v>312656</v>
      </c>
      <c r="J52" t="s">
        <v>41</v>
      </c>
      <c r="K52">
        <v>17516</v>
      </c>
      <c r="L52">
        <v>16128</v>
      </c>
      <c r="M52">
        <v>18580</v>
      </c>
      <c r="N52">
        <v>25282</v>
      </c>
    </row>
    <row r="53" spans="2:14" x14ac:dyDescent="0.25">
      <c r="B53" t="s">
        <v>42</v>
      </c>
      <c r="C53">
        <v>1128</v>
      </c>
      <c r="D53">
        <v>1288</v>
      </c>
      <c r="E53">
        <v>1574</v>
      </c>
      <c r="F53">
        <v>1886</v>
      </c>
      <c r="J53" t="s">
        <v>42</v>
      </c>
      <c r="K53">
        <v>1080</v>
      </c>
      <c r="L53">
        <v>1228</v>
      </c>
      <c r="M53">
        <v>1526</v>
      </c>
      <c r="N53">
        <v>1898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933E-A413-4EDE-9A42-B579AD2E0C6B}">
  <dimension ref="B3:F27"/>
  <sheetViews>
    <sheetView tabSelected="1" topLeftCell="D13" zoomScale="115" zoomScaleNormal="115" workbookViewId="0">
      <selection activeCell="AD11" sqref="AD11"/>
    </sheetView>
  </sheetViews>
  <sheetFormatPr defaultRowHeight="15" x14ac:dyDescent="0.25"/>
  <cols>
    <col min="2" max="2" width="33.85546875" bestFit="1" customWidth="1"/>
  </cols>
  <sheetData>
    <row r="3" spans="2:6" x14ac:dyDescent="0.25">
      <c r="E3" t="s">
        <v>43</v>
      </c>
    </row>
    <row r="5" spans="2:6" x14ac:dyDescent="0.25">
      <c r="B5" t="s">
        <v>39</v>
      </c>
      <c r="C5">
        <v>2</v>
      </c>
      <c r="D5">
        <v>4</v>
      </c>
      <c r="E5">
        <v>8</v>
      </c>
      <c r="F5">
        <v>16</v>
      </c>
    </row>
    <row r="6" spans="2:6" x14ac:dyDescent="0.25">
      <c r="B6" t="s">
        <v>40</v>
      </c>
      <c r="C6">
        <v>5672</v>
      </c>
      <c r="D6">
        <v>251488</v>
      </c>
      <c r="E6">
        <v>405278</v>
      </c>
      <c r="F6">
        <v>762090</v>
      </c>
    </row>
    <row r="7" spans="2:6" x14ac:dyDescent="0.25">
      <c r="B7" t="s">
        <v>41</v>
      </c>
      <c r="C7">
        <v>4017876</v>
      </c>
      <c r="D7">
        <v>4022028</v>
      </c>
      <c r="E7">
        <v>4033056</v>
      </c>
      <c r="F7">
        <v>4054350</v>
      </c>
    </row>
    <row r="8" spans="2:6" x14ac:dyDescent="0.25">
      <c r="B8" t="s">
        <v>42</v>
      </c>
      <c r="C8">
        <v>1000392</v>
      </c>
      <c r="D8">
        <v>1000174</v>
      </c>
      <c r="E8">
        <v>1000226</v>
      </c>
      <c r="F8">
        <v>1003016</v>
      </c>
    </row>
    <row r="12" spans="2:6" x14ac:dyDescent="0.25">
      <c r="E12" t="s">
        <v>44</v>
      </c>
    </row>
    <row r="14" spans="2:6" x14ac:dyDescent="0.25">
      <c r="B14" t="s">
        <v>39</v>
      </c>
      <c r="C14">
        <v>2</v>
      </c>
      <c r="D14">
        <v>4</v>
      </c>
      <c r="E14">
        <v>8</v>
      </c>
      <c r="F14">
        <v>16</v>
      </c>
    </row>
    <row r="15" spans="2:6" x14ac:dyDescent="0.25">
      <c r="B15" t="s">
        <v>40</v>
      </c>
      <c r="C15">
        <v>8276</v>
      </c>
      <c r="D15">
        <v>511715</v>
      </c>
      <c r="E15">
        <v>1243687</v>
      </c>
      <c r="F15">
        <v>3911898</v>
      </c>
    </row>
    <row r="16" spans="2:6" x14ac:dyDescent="0.25">
      <c r="B16" t="s">
        <v>41</v>
      </c>
      <c r="C16">
        <v>6469856</v>
      </c>
      <c r="D16">
        <v>8363524</v>
      </c>
      <c r="E16">
        <v>12168557</v>
      </c>
      <c r="F16">
        <v>19834469</v>
      </c>
    </row>
    <row r="17" spans="2:6" x14ac:dyDescent="0.25">
      <c r="B17" t="s">
        <v>42</v>
      </c>
      <c r="C17">
        <v>1438158</v>
      </c>
      <c r="D17">
        <v>2314038</v>
      </c>
      <c r="E17">
        <v>4064869</v>
      </c>
      <c r="F17">
        <v>7582314</v>
      </c>
    </row>
    <row r="22" spans="2:6" x14ac:dyDescent="0.25">
      <c r="E22" t="s">
        <v>45</v>
      </c>
    </row>
    <row r="24" spans="2:6" x14ac:dyDescent="0.25">
      <c r="B24" t="s">
        <v>39</v>
      </c>
      <c r="C24">
        <v>2</v>
      </c>
      <c r="D24">
        <v>4</v>
      </c>
      <c r="E24">
        <v>8</v>
      </c>
      <c r="F24">
        <v>16</v>
      </c>
    </row>
    <row r="25" spans="2:6" x14ac:dyDescent="0.25">
      <c r="B25" t="s">
        <v>40</v>
      </c>
      <c r="C25">
        <v>8053</v>
      </c>
      <c r="D25">
        <v>375822</v>
      </c>
      <c r="E25">
        <v>590618</v>
      </c>
      <c r="F25">
        <v>1136084</v>
      </c>
    </row>
    <row r="26" spans="2:6" x14ac:dyDescent="0.25">
      <c r="B26" t="s">
        <v>41</v>
      </c>
      <c r="C26">
        <v>6026525</v>
      </c>
      <c r="D26">
        <v>6032093</v>
      </c>
      <c r="E26">
        <v>6047472</v>
      </c>
      <c r="F26">
        <v>6077030</v>
      </c>
    </row>
    <row r="27" spans="2:6" x14ac:dyDescent="0.25">
      <c r="B27" t="s">
        <v>42</v>
      </c>
      <c r="C27">
        <v>1500588</v>
      </c>
      <c r="D27">
        <v>1500261</v>
      </c>
      <c r="E27">
        <v>1500315</v>
      </c>
      <c r="F27">
        <v>1504278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</vt:lpstr>
      <vt:lpstr>Part2</vt:lpstr>
      <vt:lpstr>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Volk, Kristjan</dc:creator>
  <cp:lastModifiedBy>Volk, Kristjan</cp:lastModifiedBy>
  <dcterms:created xsi:type="dcterms:W3CDTF">2026-04-13T10:21:45Z</dcterms:created>
  <dcterms:modified xsi:type="dcterms:W3CDTF">2026-04-17T17:10:45Z</dcterms:modified>
</cp:coreProperties>
</file>